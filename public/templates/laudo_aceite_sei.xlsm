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4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fabiomartinssantos/Library/Mobile Documents/com~apple~CloudDocs/Desktop/IA - CLAUDE/URBIS/"/>
    </mc:Choice>
  </mc:AlternateContent>
  <xr:revisionPtr revIDLastSave="0" documentId="8_{D1E76B97-8AFE-884E-8558-C925498FB51D}" xr6:coauthVersionLast="47" xr6:coauthVersionMax="47" xr10:uidLastSave="{00000000-0000-0000-0000-000000000000}"/>
  <bookViews>
    <workbookView xWindow="1040" yWindow="600" windowWidth="35860" windowHeight="19480" tabRatio="784" xr2:uid="{1542B8DD-6827-4309-827B-D0EA515506FB}"/>
  </bookViews>
  <sheets>
    <sheet name="Painel do Aceite" sheetId="147" r:id="rId1"/>
    <sheet name="Aceite" sheetId="161" r:id="rId2"/>
  </sheets>
  <definedNames>
    <definedName name="_xlpm.ano_base" hidden="1" xlm="1">#NAME?</definedName>
    <definedName name="_xlpm.base" hidden="1" xlm="1">#NAME?</definedName>
    <definedName name="_xlpm.du" hidden="1" xlm="1">#NAME?</definedName>
    <definedName name="_xlpm.fim" hidden="1" xlm="1">#NAME?</definedName>
    <definedName name="_xlpm.ini" hidden="1" xlm="1">#NAME?</definedName>
    <definedName name="_xlpm.m" hidden="1" xlm="1">#NAME?</definedName>
    <definedName name="_xlpm.mes" hidden="1" xlm="1">#NAME?</definedName>
    <definedName name="_xlpm.mes_raw" hidden="1" xlm="1">#NAME?</definedName>
    <definedName name="_xlpm.mes_txt" hidden="1" xlm="1">#NAME?</definedName>
    <definedName name="_xlpm.meta" hidden="1" xlm="1">#NAME?</definedName>
    <definedName name="_xlpm.pontos" hidden="1" xlm="1">#NAME?</definedName>
    <definedName name="_xlpm.prev" hidden="1" xlm="1">#NAME?</definedName>
    <definedName name="ABR">#REF!</definedName>
    <definedName name="AGO">#REF!</definedName>
    <definedName name="_xlnm.Print_Area" localSheetId="1">Aceite!$B$37:$N$79</definedName>
    <definedName name="_xlnm.Print_Area" localSheetId="0">'Painel do Aceite'!$B$1:$O$37</definedName>
    <definedName name="DEZ">#REF!</definedName>
    <definedName name="Excel_BuiltIn__FilterDatabase" localSheetId="1">Aceite!#REF!</definedName>
    <definedName name="Excel_BuiltIn__FilterDatabase" localSheetId="0">#REF!</definedName>
    <definedName name="FEV">#REF!</definedName>
    <definedName name="INÍCIO">#REF!</definedName>
    <definedName name="JAN">#REF!</definedName>
    <definedName name="JUL">#REF!</definedName>
    <definedName name="JUN">#REF!</definedName>
    <definedName name="MAI">#REF!</definedName>
    <definedName name="MAR">#REF!</definedName>
    <definedName name="NOV">#REF!</definedName>
    <definedName name="OUT">#REF!</definedName>
    <definedName name="SE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61" l="1"/>
  <c r="L5" i="161"/>
  <c r="L6" i="161"/>
  <c r="L7" i="161"/>
  <c r="L8" i="161"/>
  <c r="L9" i="161"/>
  <c r="L10" i="161"/>
  <c r="L15" i="161"/>
  <c r="L16" i="161"/>
  <c r="L17" i="161"/>
  <c r="L18" i="161"/>
  <c r="L19" i="161"/>
  <c r="L20" i="161"/>
  <c r="L21" i="161"/>
  <c r="L22" i="161"/>
  <c r="L23" i="161"/>
  <c r="L24" i="161"/>
  <c r="L27" i="161"/>
  <c r="L28" i="161"/>
  <c r="L29" i="161"/>
  <c r="H15" i="161"/>
  <c r="H16" i="161"/>
  <c r="H17" i="161"/>
  <c r="H18" i="161"/>
  <c r="H21" i="161"/>
  <c r="H22" i="161"/>
  <c r="H23" i="161"/>
  <c r="H24" i="161"/>
  <c r="H25" i="161"/>
  <c r="H27" i="161"/>
  <c r="D13" i="161"/>
  <c r="D14" i="161"/>
  <c r="D15" i="161"/>
  <c r="D16" i="161"/>
  <c r="D17" i="161"/>
  <c r="D18" i="161"/>
  <c r="D19" i="161"/>
  <c r="D20" i="161"/>
  <c r="D21" i="161"/>
  <c r="D22" i="161"/>
  <c r="D23" i="161"/>
  <c r="D24" i="161"/>
  <c r="D25" i="161"/>
  <c r="D26" i="161"/>
  <c r="D27" i="161"/>
  <c r="D29" i="161"/>
  <c r="D30" i="161"/>
  <c r="D31" i="161"/>
  <c r="C4" i="161"/>
  <c r="C5" i="161"/>
  <c r="C6" i="161"/>
  <c r="C7" i="161"/>
  <c r="C8" i="161"/>
  <c r="C9" i="161"/>
  <c r="C10" i="161"/>
  <c r="L12" i="161"/>
  <c r="H12" i="161"/>
  <c r="D12" i="161"/>
  <c r="C3" i="161"/>
  <c r="M72" i="161" l="1"/>
  <c r="D73" i="161" l="1"/>
  <c r="E44" i="161"/>
  <c r="F49" i="161"/>
  <c r="F51" i="161"/>
  <c r="F52" i="161"/>
  <c r="M50" i="161"/>
  <c r="F60" i="161"/>
  <c r="M48" i="161"/>
  <c r="F55" i="161"/>
  <c r="M49" i="161"/>
  <c r="F59" i="161"/>
  <c r="D41" i="161"/>
  <c r="D42" i="161"/>
  <c r="E43" i="161"/>
  <c r="H44" i="161"/>
  <c r="K44" i="161"/>
  <c r="F46" i="161"/>
  <c r="M46" i="161"/>
  <c r="F47" i="161"/>
  <c r="M47" i="161"/>
  <c r="F48" i="161"/>
  <c r="F50" i="161"/>
  <c r="M51" i="161"/>
  <c r="M55" i="161"/>
  <c r="F56" i="161"/>
  <c r="F57" i="161"/>
  <c r="M57" i="161"/>
  <c r="F58" i="161"/>
  <c r="M59" i="161"/>
  <c r="F63" i="161"/>
  <c r="F64" i="161"/>
  <c r="F65" i="161"/>
  <c r="D75" i="161"/>
  <c r="L27" i="147" l="1"/>
  <c r="L26" i="161" s="1"/>
  <c r="L26" i="147"/>
  <c r="L25" i="161" s="1"/>
  <c r="H27" i="147"/>
  <c r="H26" i="161" s="1"/>
  <c r="L4" i="147"/>
  <c r="L3" i="161" s="1"/>
  <c r="L15" i="147"/>
  <c r="L14" i="161" s="1"/>
  <c r="L14" i="147"/>
  <c r="L13" i="161" s="1"/>
  <c r="F61" i="161" s="1"/>
  <c r="H20" i="147"/>
  <c r="H19" i="161" s="1"/>
  <c r="D29" i="147"/>
  <c r="D28" i="161" s="1"/>
  <c r="H15" i="147"/>
  <c r="H14" i="161" s="1"/>
  <c r="H14" i="147"/>
  <c r="H13" i="161" s="1"/>
  <c r="H73" i="161" l="1"/>
  <c r="M61" i="161"/>
  <c r="H29" i="147"/>
  <c r="H28" i="161" s="1"/>
  <c r="F62" i="161" s="1"/>
  <c r="H21" i="147"/>
  <c r="H20" i="16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tc={E7CC74E3-46E3-4ABB-A39A-836325D3AD16}</author>
    <author>tc={C33F031D-080A-43A4-A5A8-E253D303A2B4}</author>
    <author>tc={98F82B39-55B2-4EA7-ACA5-F8C775DBE9A3}</author>
    <author>tc={BC2A8444-71B3-461E-89FF-6875A53BB6BF}</author>
    <author>tc={FE781172-A39D-48B8-B458-323F24A6293B}</author>
  </authors>
  <commentList>
    <comment ref="D16" authorId="0" shapeId="0" xr:uid="{E7CC74E3-46E3-4ABB-A39A-836325D3AD1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Nº do despacho</t>
      </text>
    </comment>
    <comment ref="D26" authorId="1" shapeId="0" xr:uid="{C33F031D-080A-43A4-A5A8-E253D303A2B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Declaração Energia 19/10/95</t>
      </text>
    </comment>
    <comment ref="D27" authorId="2" shapeId="0" xr:uid="{98F82B39-55B2-4EA7-ACA5-F8C775DBE9A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Ortofoto/Energização/IPTU/Averbação em cartório</t>
      </text>
    </comment>
    <comment ref="D31" authorId="3" shapeId="0" xr:uid="{BC2A8444-71B3-461E-89FF-6875A53BB6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Nº da ART</t>
      </text>
    </comment>
    <comment ref="D32" authorId="4" shapeId="0" xr:uid="{FE781172-A39D-48B8-B458-323F24A6293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Nº da ART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tc={92E3724E-DAE4-47FC-BD79-D1414360033A}</author>
    <author>tc={61B8CA0B-6660-45E2-9881-1D384BD22C36}</author>
    <author>tc={2B150D90-899C-4CD9-964E-8B47517C05B4}</author>
    <author>tc={2CFAFCFE-7DFB-4126-B310-65DD727ABD1C}</author>
    <author>tc={1F318827-B39B-49C3-AC73-83F11664CD2B}</author>
  </authors>
  <commentList>
    <comment ref="D15" authorId="0" shapeId="0" xr:uid="{92E3724E-DAE4-47FC-BD79-D1414360033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Nº do despacho</t>
      </text>
    </comment>
    <comment ref="D25" authorId="1" shapeId="0" xr:uid="{61B8CA0B-6660-45E2-9881-1D384BD22C3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Declaração Energia 19/10/95</t>
      </text>
    </comment>
    <comment ref="D26" authorId="2" shapeId="0" xr:uid="{2B150D90-899C-4CD9-964E-8B47517C05B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Ortofoto/Energização/IPTU/Averbação em cartório</t>
      </text>
    </comment>
    <comment ref="D30" authorId="3" shapeId="0" xr:uid="{2CFAFCFE-7DFB-4126-B310-65DD727ABD1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Nº da ART</t>
      </text>
    </comment>
    <comment ref="D31" authorId="4" shapeId="0" xr:uid="{1F318827-B39B-49C3-AC73-83F11664CD2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Nº da ART</t>
      </text>
    </comment>
  </commentList>
</comments>
</file>

<file path=xl/sharedStrings.xml><?xml version="1.0" encoding="utf-8"?>
<sst xmlns="http://schemas.openxmlformats.org/spreadsheetml/2006/main" count="242" uniqueCount="142">
  <si>
    <t>DOCUMENTAÇÃO</t>
  </si>
  <si>
    <t>x</t>
  </si>
  <si>
    <t>Endereço:</t>
  </si>
  <si>
    <t>NP</t>
  </si>
  <si>
    <t>Altura</t>
  </si>
  <si>
    <t>Área existente aprovada:</t>
  </si>
  <si>
    <t>Bairro:</t>
  </si>
  <si>
    <t>Cheadv</t>
  </si>
  <si>
    <t>Processo Nº:</t>
  </si>
  <si>
    <t>Proprietário:</t>
  </si>
  <si>
    <t>Logradouro:</t>
  </si>
  <si>
    <t>Qd.:</t>
  </si>
  <si>
    <t>Lt. :</t>
  </si>
  <si>
    <t>Data do Embargo:</t>
  </si>
  <si>
    <t xml:space="preserve">Goiânia, </t>
  </si>
  <si>
    <t>Área do terreno:</t>
  </si>
  <si>
    <t>Certidão de Matricula</t>
  </si>
  <si>
    <t>Levantamento/Arquitetura</t>
  </si>
  <si>
    <t>Onerosa</t>
  </si>
  <si>
    <t>Embargo</t>
  </si>
  <si>
    <t>Data do Embargo</t>
  </si>
  <si>
    <t>Pg</t>
  </si>
  <si>
    <t>Bem Tombado</t>
  </si>
  <si>
    <t>ART/RRT de levantamento</t>
  </si>
  <si>
    <t>ART/RRT da Caixa de Recar</t>
  </si>
  <si>
    <t>Laudo Tecnico</t>
  </si>
  <si>
    <t>Remembramento</t>
  </si>
  <si>
    <t>Vistoria Fiscal e Laud Reg</t>
  </si>
  <si>
    <t>Uso do Solo para Aprovação</t>
  </si>
  <si>
    <t>Unidade Territorial</t>
  </si>
  <si>
    <t>Item</t>
  </si>
  <si>
    <t>Descrição</t>
  </si>
  <si>
    <t>Área Impermeável</t>
  </si>
  <si>
    <t>Vol Mínimo da Cx</t>
  </si>
  <si>
    <t>Vol Atendido da Cx</t>
  </si>
  <si>
    <t>Área do Lote</t>
  </si>
  <si>
    <t>Número de Pav</t>
  </si>
  <si>
    <t>Número de Unid</t>
  </si>
  <si>
    <t>Mais de 12m de altura?</t>
  </si>
  <si>
    <t>Corredor Viário?</t>
  </si>
  <si>
    <t>Faixa de Ampliação?</t>
  </si>
  <si>
    <t>Caixa de Recarga?</t>
  </si>
  <si>
    <t>Ocupa Recuo Frontal?</t>
  </si>
  <si>
    <t>Estrutura e telhado concluido?</t>
  </si>
  <si>
    <t>Alt max de 21m? (ter até cob)</t>
  </si>
  <si>
    <t>Ocupa área publica?</t>
  </si>
  <si>
    <t>Área aeroportuária?</t>
  </si>
  <si>
    <t>Área militar?</t>
  </si>
  <si>
    <t>Vistoria: respeita calçadas?</t>
  </si>
  <si>
    <t>Abert de esquadrias na divisa?</t>
  </si>
  <si>
    <t>Lança de águas pluvi  interna?</t>
  </si>
  <si>
    <t>Levanta confere com Vistoria?</t>
  </si>
  <si>
    <t>Área do Terreno</t>
  </si>
  <si>
    <t>Despacho CHEADV</t>
  </si>
  <si>
    <t>Área ocu pela Ativ Comer</t>
  </si>
  <si>
    <t>Nº Uso para Aprov</t>
  </si>
  <si>
    <t>Descri CNAE1:</t>
  </si>
  <si>
    <t>Descri CNAE2:</t>
  </si>
  <si>
    <t>CNAE1</t>
  </si>
  <si>
    <t>CNAE2</t>
  </si>
  <si>
    <t>Multa de Verticalização?</t>
  </si>
  <si>
    <t>Multa de Recuo Frontal?</t>
  </si>
  <si>
    <t>Data deste Laudo</t>
  </si>
  <si>
    <t>Area existente Aprov</t>
  </si>
  <si>
    <t>Data da energização</t>
  </si>
  <si>
    <t>Nada Consta do ARQUIVO:</t>
  </si>
  <si>
    <t>LAUDO DE ACEITE</t>
  </si>
  <si>
    <t>IPTU</t>
  </si>
  <si>
    <t>NÃO</t>
  </si>
  <si>
    <t>Á. em Ed Vertical no Recuo</t>
  </si>
  <si>
    <t>Á. em Ed Vertical fora do Recuo</t>
  </si>
  <si>
    <t>Á. não Vertical no Recuo</t>
  </si>
  <si>
    <t>Á. não Vertical fora do Recuo</t>
  </si>
  <si>
    <t>SECRETARIA MUNICIPAL DE EFICIÊNCIA – SEFIC
DIRETORIA DE ANÁLISE E APROVAÇÃO DE PROJETOS – DIRAAP</t>
  </si>
  <si>
    <t>ASSUNTO:</t>
  </si>
  <si>
    <t>ALVARÁ DE ACEITE</t>
  </si>
  <si>
    <t>Os artigos citados na análise abaixo referem-se à Lei Complementar nº 314, de 05/11/2018 e Instrução Normativa nº 04 de 16/05/2024</t>
  </si>
  <si>
    <t>DOCUMENTO:</t>
  </si>
  <si>
    <t>LAUDO DE ANÁLISE</t>
  </si>
  <si>
    <t>INFORMAÇÕES GERAIS DO PROCESSO</t>
  </si>
  <si>
    <t>Certidão de Registro Atualizada:</t>
  </si>
  <si>
    <t>Comprovação do tempo de existência da edificação</t>
  </si>
  <si>
    <t>Certidão/Decreto de Remembramento, desmembramento ou remanejamento (quando pertinente):</t>
  </si>
  <si>
    <t>Tipo de Comprovação</t>
  </si>
  <si>
    <t>INFORMAR A DATA</t>
  </si>
  <si>
    <t>Certidão de Limites e confrontações:</t>
  </si>
  <si>
    <t>Relatório / Laudo Técnico da edificação (responsável técnico):</t>
  </si>
  <si>
    <t>Análise documental (cheadv):</t>
  </si>
  <si>
    <t>Registro Fotográfico da edificação (responsável técnico):</t>
  </si>
  <si>
    <t>Vistoria Fiscal:</t>
  </si>
  <si>
    <t>ART – RRT de Levantamento arquitetônico (responsável técnico):</t>
  </si>
  <si>
    <t>Embargo:</t>
  </si>
  <si>
    <t>Levantamento arquitetônico (responsável técnico):</t>
  </si>
  <si>
    <t>Apenas Edificações maiores que 200 m² devem apresentar Levantamento arquitetônico e Documento de responsabilidade técnica</t>
  </si>
  <si>
    <t>ANÁLISE ARQUITETÔNICA</t>
  </si>
  <si>
    <t>INFORMAÇÕES GERAIS</t>
  </si>
  <si>
    <t>Nº de Unidades:</t>
  </si>
  <si>
    <t>Nº de pavimentos</t>
  </si>
  <si>
    <t>Nº de pavimentos:</t>
  </si>
  <si>
    <t>Levantamento arquitetônico em acordo com vistoria fiscal:</t>
  </si>
  <si>
    <t>Edificação ocupa/obstrui logradouro público:</t>
  </si>
  <si>
    <t>Edificação sobre Área de Preservação Permanente:</t>
  </si>
  <si>
    <t>Lançamento de águas pluviais interna ao Lote:</t>
  </si>
  <si>
    <t>Edificação caracterizada como edificação vertical (12,00 metros):</t>
  </si>
  <si>
    <t>Área a ser regularizada</t>
  </si>
  <si>
    <t>Ocupa totalidade do Lote:</t>
  </si>
  <si>
    <t>Documento COMAER:</t>
  </si>
  <si>
    <t>Edificação foi descaracterizada em Levantamento arquitetônico:</t>
  </si>
  <si>
    <t>Carimbo de projeto conforme I.N. nº 007/2024:</t>
  </si>
  <si>
    <t>RECUOS / AFASTAMENTOS PERTINENTES AO PROJETO</t>
  </si>
  <si>
    <t>Altura acumulada</t>
  </si>
  <si>
    <t>Recuo frontal</t>
  </si>
  <si>
    <t>Recuo Lateral</t>
  </si>
  <si>
    <t>Recuo de fundo</t>
  </si>
  <si>
    <t>3,00 metros</t>
  </si>
  <si>
    <t>6,00 metros</t>
  </si>
  <si>
    <t>9,00 metros</t>
  </si>
  <si>
    <t>DISPOSIÇÕES FINAIS</t>
  </si>
  <si>
    <t>Taxa – Edificação vertical que não ocupa o recuo frontal:</t>
  </si>
  <si>
    <t>Taxa de Alvará de Aceite (edificações não verticais)</t>
  </si>
  <si>
    <t xml:space="preserve">Área: </t>
  </si>
  <si>
    <t>Taxa – Edificação Vertical que ocupa o recuo frontal:</t>
  </si>
  <si>
    <t>Artigo 3° LC N° 314/2018: Entende-se por Edificações Verticais as edificações acima de 12,00 metros de altura</t>
  </si>
  <si>
    <t>Observações (campo pertinente ao analista):</t>
  </si>
  <si>
    <t>Analista Responsável</t>
  </si>
  <si>
    <t>Laudo destinado à revisão da Gerência de Análise de Edificações
GERAED</t>
  </si>
  <si>
    <t>REVISOR</t>
  </si>
  <si>
    <t>Ocupa Todo Lote?</t>
  </si>
  <si>
    <t>Ocupa APP</t>
  </si>
  <si>
    <t>Ed descaracterizada em Lev arq</t>
  </si>
  <si>
    <t>Cert  de Lime Confrontação</t>
  </si>
  <si>
    <t>Carimbo conforme  I.N. 7/24:</t>
  </si>
  <si>
    <t>PENDENCIA?</t>
  </si>
  <si>
    <t>Área Permeável</t>
  </si>
  <si>
    <t>SIM!</t>
  </si>
  <si>
    <t>Vol Total em Qtd Cx</t>
  </si>
  <si>
    <t>Á. Do Aceite</t>
  </si>
  <si>
    <t>Tempo de existência da ed ok?</t>
  </si>
  <si>
    <t>ok</t>
  </si>
  <si>
    <t>Nº ART/RRT de levantamento</t>
  </si>
  <si>
    <t>Nº ART/RRT da Caixa de Recar</t>
  </si>
  <si>
    <t>Área construída que ocupa o recuo frontal: 
NÃO VERTICAL /  VERTICAL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</si>
</sst>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d&quot;  &quot;mmmm&quot;, &quot;yyyy;@"/>
  </numFmts>
  <fonts count="42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indexed="8"/>
      <name val="Calibri"/>
      <family val="2"/>
    </font>
    <font>
      <sz val="12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u/>
      <sz val="48"/>
      <color rgb="FF000000"/>
      <name val="Calibri"/>
      <family val="2"/>
    </font>
    <font>
      <sz val="10"/>
      <color rgb="FF000000"/>
      <name val="Arial"/>
      <family val="2"/>
    </font>
    <font>
      <b/>
      <sz val="11"/>
      <color rgb="FF000000"/>
      <name val="Arial Narrow"/>
      <family val="2"/>
      <charset val="1"/>
    </font>
    <font>
      <b/>
      <sz val="24"/>
      <color rgb="FF000000"/>
      <name val="Calibri"/>
      <family val="2"/>
      <charset val="1"/>
    </font>
    <font>
      <b/>
      <sz val="16"/>
      <color rgb="FFFF0000"/>
      <name val="Calibri"/>
      <family val="2"/>
      <charset val="1"/>
    </font>
    <font>
      <b/>
      <sz val="14"/>
      <color rgb="FF000000"/>
      <name val="Arial Narrow"/>
      <family val="2"/>
      <charset val="1"/>
    </font>
    <font>
      <i/>
      <sz val="11"/>
      <color rgb="FF000000"/>
      <name val="Arial Narrow"/>
      <family val="2"/>
      <charset val="1"/>
    </font>
    <font>
      <b/>
      <sz val="12"/>
      <name val="Calibri"/>
      <family val="2"/>
      <charset val="1"/>
    </font>
    <font>
      <b/>
      <sz val="16"/>
      <color rgb="FF000000"/>
      <name val="Arial Narrow"/>
      <family val="2"/>
      <charset val="1"/>
    </font>
    <font>
      <b/>
      <sz val="16"/>
      <color rgb="FF000000"/>
      <name val="Calibri"/>
      <family val="2"/>
      <charset val="1"/>
    </font>
    <font>
      <u/>
      <sz val="11"/>
      <color rgb="FF0000FF"/>
      <name val="Calibri"/>
      <family val="2"/>
      <charset val="1"/>
    </font>
    <font>
      <b/>
      <sz val="11"/>
      <name val="Arial Narrow"/>
      <family val="2"/>
      <charset val="1"/>
    </font>
    <font>
      <b/>
      <sz val="16"/>
      <name val="Arial Narrow"/>
      <family val="2"/>
      <charset val="1"/>
    </font>
    <font>
      <b/>
      <sz val="8"/>
      <color rgb="FF000000"/>
      <name val="Arial Narrow"/>
      <family val="2"/>
      <charset val="1"/>
    </font>
    <font>
      <i/>
      <sz val="11"/>
      <name val="Arial Narrow"/>
      <family val="2"/>
      <charset val="1"/>
    </font>
    <font>
      <b/>
      <sz val="9"/>
      <color rgb="FF000000"/>
      <name val="Arial Narrow"/>
      <family val="2"/>
      <charset val="1"/>
    </font>
    <font>
      <b/>
      <sz val="12"/>
      <color rgb="FFFF0000"/>
      <name val="Calibri"/>
      <family val="2"/>
      <charset val="1"/>
    </font>
    <font>
      <b/>
      <u/>
      <sz val="48"/>
      <color rgb="FFFF0000"/>
      <name val="Calibri"/>
      <family val="2"/>
    </font>
    <font>
      <sz val="8"/>
      <color rgb="FF000000"/>
      <name val="Calibri"/>
      <family val="2"/>
    </font>
    <font>
      <sz val="10"/>
      <color rgb="FF000000"/>
      <name val="Liberation Sans1"/>
    </font>
    <font>
      <b/>
      <sz val="10"/>
      <color rgb="FF000000"/>
      <name val="Liberation Sans1"/>
    </font>
    <font>
      <sz val="10"/>
      <color rgb="FFFFFFFF"/>
      <name val="Liberation Sans1"/>
    </font>
    <font>
      <sz val="10"/>
      <color rgb="FFCC0000"/>
      <name val="Liberation Sans1"/>
    </font>
    <font>
      <b/>
      <sz val="10"/>
      <color rgb="FFFFFFFF"/>
      <name val="Liberation Sans1"/>
    </font>
    <font>
      <i/>
      <sz val="10"/>
      <color rgb="FF808080"/>
      <name val="Liberation Sans1"/>
    </font>
    <font>
      <sz val="10"/>
      <color rgb="FF006600"/>
      <name val="Liberation Sans1"/>
    </font>
    <font>
      <b/>
      <sz val="24"/>
      <color rgb="FF000000"/>
      <name val="Liberation Sans1"/>
    </font>
    <font>
      <sz val="18"/>
      <color rgb="FF000000"/>
      <name val="Liberation Sans1"/>
    </font>
    <font>
      <sz val="12"/>
      <color rgb="FF000000"/>
      <name val="Liberation Sans1"/>
    </font>
    <font>
      <u/>
      <sz val="10"/>
      <color rgb="FF0000EE"/>
      <name val="Liberation Sans1"/>
    </font>
    <font>
      <sz val="10"/>
      <color rgb="FF996600"/>
      <name val="Liberation Sans1"/>
    </font>
    <font>
      <sz val="10"/>
      <color rgb="FF333333"/>
      <name val="Liberation Sans1"/>
    </font>
    <font>
      <b/>
      <i/>
      <u/>
      <sz val="10"/>
      <color rgb="FF000000"/>
      <name val="Liberation Sans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8CB"/>
        <bgColor rgb="FFDDDDDD"/>
      </patternFill>
    </fill>
    <fill>
      <patternFill patternType="solid">
        <fgColor rgb="FFB2B2B2"/>
        <bgColor rgb="FFCCCCCC"/>
      </patternFill>
    </fill>
    <fill>
      <patternFill patternType="solid">
        <fgColor rgb="FFDDDDDD"/>
        <bgColor rgb="FFDDE8CB"/>
      </patternFill>
    </fill>
    <fill>
      <patternFill patternType="solid">
        <fgColor rgb="FFEEEEEE"/>
        <bgColor rgb="FFFFF5CE"/>
      </patternFill>
    </fill>
    <fill>
      <patternFill patternType="solid">
        <fgColor rgb="FFFFFFFF"/>
        <bgColor rgb="FFEEEEEE"/>
      </patternFill>
    </fill>
    <fill>
      <patternFill patternType="solid">
        <fgColor rgb="FFFFF5CE"/>
        <bgColor rgb="FFEEEEEE"/>
      </patternFill>
    </fill>
    <fill>
      <patternFill patternType="solid">
        <fgColor rgb="FFCCCCCC"/>
        <bgColor rgb="FFDDDDDD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4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666666"/>
      </left>
      <right style="hair">
        <color rgb="FF666666"/>
      </right>
      <top style="hair">
        <color rgb="FF666666"/>
      </top>
      <bottom style="hair">
        <color rgb="FF666666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30">
    <xf numFmtId="0" fontId="0" fillId="0" borderId="0"/>
    <xf numFmtId="0" fontId="1" fillId="0" borderId="0"/>
    <xf numFmtId="0" fontId="2" fillId="0" borderId="0"/>
    <xf numFmtId="9" fontId="2" fillId="0" borderId="0" applyFill="0" applyBorder="0" applyAlignment="0" applyProtection="0"/>
    <xf numFmtId="0" fontId="6" fillId="0" borderId="0"/>
    <xf numFmtId="0" fontId="6" fillId="0" borderId="0"/>
    <xf numFmtId="0" fontId="10" fillId="0" borderId="0"/>
    <xf numFmtId="0" fontId="19" fillId="0" borderId="0" applyBorder="0" applyProtection="0"/>
    <xf numFmtId="0" fontId="1" fillId="0" borderId="0"/>
    <xf numFmtId="0" fontId="28" fillId="0" borderId="0"/>
    <xf numFmtId="9" fontId="28" fillId="0" borderId="0" applyFont="0" applyBorder="0" applyProtection="0"/>
    <xf numFmtId="0" fontId="29" fillId="0" borderId="0" applyNumberFormat="0" applyBorder="0" applyProtection="0"/>
    <xf numFmtId="0" fontId="30" fillId="12" borderId="0" applyNumberFormat="0" applyBorder="0" applyProtection="0"/>
    <xf numFmtId="0" fontId="30" fillId="13" borderId="0" applyNumberFormat="0" applyBorder="0" applyProtection="0"/>
    <xf numFmtId="0" fontId="29" fillId="14" borderId="0" applyNumberFormat="0" applyBorder="0" applyProtection="0"/>
    <xf numFmtId="0" fontId="31" fillId="15" borderId="0" applyNumberFormat="0" applyBorder="0" applyProtection="0"/>
    <xf numFmtId="0" fontId="32" fillId="16" borderId="0" applyNumberFormat="0" applyBorder="0" applyProtection="0"/>
    <xf numFmtId="0" fontId="33" fillId="0" borderId="0" applyNumberFormat="0" applyBorder="0" applyProtection="0"/>
    <xf numFmtId="0" fontId="34" fillId="17" borderId="0" applyNumberFormat="0" applyBorder="0" applyProtection="0"/>
    <xf numFmtId="0" fontId="35" fillId="0" borderId="0" applyNumberFormat="0" applyBorder="0" applyProtection="0"/>
    <xf numFmtId="0" fontId="35" fillId="0" borderId="0" applyNumberFormat="0" applyBorder="0" applyProtection="0"/>
    <xf numFmtId="0" fontId="36" fillId="0" borderId="0" applyNumberFormat="0" applyBorder="0" applyProtection="0"/>
    <xf numFmtId="0" fontId="37" fillId="0" borderId="0" applyNumberFormat="0" applyBorder="0" applyProtection="0"/>
    <xf numFmtId="0" fontId="38" fillId="0" borderId="0" applyNumberFormat="0" applyBorder="0" applyProtection="0"/>
    <xf numFmtId="0" fontId="39" fillId="18" borderId="0" applyNumberFormat="0" applyBorder="0" applyProtection="0"/>
    <xf numFmtId="0" fontId="40" fillId="18" borderId="45" applyNumberFormat="0" applyProtection="0"/>
    <xf numFmtId="0" fontId="41" fillId="0" borderId="0" applyNumberFormat="0" applyBorder="0" applyProtection="0"/>
    <xf numFmtId="0" fontId="28" fillId="0" borderId="0" applyNumberFormat="0" applyFont="0" applyBorder="0" applyProtection="0"/>
    <xf numFmtId="0" fontId="28" fillId="0" borderId="0" applyNumberFormat="0" applyFont="0" applyBorder="0" applyProtection="0"/>
    <xf numFmtId="0" fontId="31" fillId="0" borderId="0" applyNumberFormat="0" applyBorder="0" applyProtection="0"/>
  </cellStyleXfs>
  <cellXfs count="144">
    <xf numFmtId="0" fontId="0" fillId="0" borderId="0" xfId="0"/>
    <xf numFmtId="0" fontId="6" fillId="0" borderId="0" xfId="4"/>
    <xf numFmtId="0" fontId="7" fillId="0" borderId="0" xfId="5" applyFont="1" applyAlignment="1">
      <alignment vertical="top" wrapText="1"/>
    </xf>
    <xf numFmtId="2" fontId="8" fillId="0" borderId="0" xfId="5" applyNumberFormat="1" applyFont="1" applyAlignment="1">
      <alignment vertical="top" wrapText="1"/>
    </xf>
    <xf numFmtId="0" fontId="6" fillId="0" borderId="5" xfId="4" applyBorder="1" applyAlignment="1">
      <alignment horizontal="left" vertical="center"/>
    </xf>
    <xf numFmtId="0" fontId="6" fillId="0" borderId="5" xfId="4" applyBorder="1"/>
    <xf numFmtId="0" fontId="6" fillId="0" borderId="6" xfId="4" applyBorder="1"/>
    <xf numFmtId="0" fontId="6" fillId="2" borderId="5" xfId="4" applyFill="1" applyBorder="1" applyAlignment="1">
      <alignment horizontal="left" vertical="center"/>
    </xf>
    <xf numFmtId="0" fontId="5" fillId="0" borderId="0" xfId="8" applyFont="1" applyAlignment="1">
      <alignment vertical="top" wrapText="1"/>
    </xf>
    <xf numFmtId="2" fontId="25" fillId="0" borderId="0" xfId="8" applyNumberFormat="1" applyFont="1" applyAlignment="1">
      <alignment vertical="top" wrapText="1"/>
    </xf>
    <xf numFmtId="2" fontId="5" fillId="0" borderId="0" xfId="8" applyNumberFormat="1" applyFont="1" applyAlignment="1">
      <alignment vertical="top" wrapText="1"/>
    </xf>
    <xf numFmtId="0" fontId="5" fillId="0" borderId="0" xfId="8" applyFont="1" applyAlignment="1">
      <alignment vertical="top"/>
    </xf>
    <xf numFmtId="0" fontId="9" fillId="0" borderId="0" xfId="4" applyFont="1" applyAlignment="1">
      <alignment vertical="center"/>
    </xf>
    <xf numFmtId="0" fontId="6" fillId="0" borderId="24" xfId="4" applyBorder="1" applyAlignment="1">
      <alignment horizontal="left" vertical="center"/>
    </xf>
    <xf numFmtId="0" fontId="6" fillId="2" borderId="24" xfId="4" applyFill="1" applyBorder="1" applyAlignment="1">
      <alignment horizontal="left" vertical="center"/>
    </xf>
    <xf numFmtId="3" fontId="6" fillId="2" borderId="24" xfId="4" applyNumberFormat="1" applyFill="1" applyBorder="1" applyAlignment="1">
      <alignment horizontal="left" vertical="center" shrinkToFit="1"/>
    </xf>
    <xf numFmtId="14" fontId="6" fillId="0" borderId="24" xfId="4" applyNumberFormat="1" applyBorder="1" applyAlignment="1">
      <alignment horizontal="left" vertical="center"/>
    </xf>
    <xf numFmtId="0" fontId="6" fillId="3" borderId="5" xfId="4" applyFill="1" applyBorder="1" applyAlignment="1">
      <alignment horizontal="left" vertical="center"/>
    </xf>
    <xf numFmtId="0" fontId="6" fillId="11" borderId="24" xfId="4" applyFill="1" applyBorder="1" applyAlignment="1">
      <alignment horizontal="left" vertical="center"/>
    </xf>
    <xf numFmtId="0" fontId="6" fillId="11" borderId="5" xfId="4" applyFill="1" applyBorder="1" applyAlignment="1">
      <alignment horizontal="left" vertical="center"/>
    </xf>
    <xf numFmtId="0" fontId="27" fillId="11" borderId="24" xfId="4" applyFont="1" applyFill="1" applyBorder="1" applyAlignment="1">
      <alignment horizontal="left" vertical="center" wrapText="1" shrinkToFit="1"/>
    </xf>
    <xf numFmtId="2" fontId="6" fillId="11" borderId="24" xfId="4" applyNumberFormat="1" applyFill="1" applyBorder="1" applyAlignment="1">
      <alignment horizontal="left" vertical="center"/>
    </xf>
    <xf numFmtId="0" fontId="1" fillId="0" borderId="0" xfId="1"/>
    <xf numFmtId="0" fontId="1" fillId="0" borderId="0" xfId="1" applyAlignment="1">
      <alignment horizontal="center" vertical="center" readingOrder="1"/>
    </xf>
    <xf numFmtId="0" fontId="4" fillId="0" borderId="0" xfId="1" applyFont="1" applyAlignment="1">
      <alignment horizontal="center" vertical="center" readingOrder="1"/>
    </xf>
    <xf numFmtId="0" fontId="13" fillId="0" borderId="0" xfId="1" applyFont="1" applyAlignment="1">
      <alignment horizontal="left" vertical="center" wrapText="1"/>
    </xf>
    <xf numFmtId="0" fontId="12" fillId="0" borderId="0" xfId="1" applyFont="1" applyAlignment="1">
      <alignment horizontal="left" vertical="center" wrapText="1"/>
    </xf>
    <xf numFmtId="0" fontId="5" fillId="5" borderId="31" xfId="1" applyFont="1" applyFill="1" applyBorder="1" applyAlignment="1">
      <alignment horizontal="center" vertical="center"/>
    </xf>
    <xf numFmtId="0" fontId="5" fillId="5" borderId="32" xfId="1" applyFont="1" applyFill="1" applyBorder="1" applyAlignment="1">
      <alignment horizontal="center" vertical="center"/>
    </xf>
    <xf numFmtId="0" fontId="5" fillId="5" borderId="38" xfId="1" applyFont="1" applyFill="1" applyBorder="1" applyAlignment="1">
      <alignment horizontal="center" vertical="center"/>
    </xf>
    <xf numFmtId="0" fontId="1" fillId="6" borderId="19" xfId="1" applyFill="1" applyBorder="1" applyAlignment="1">
      <alignment horizontal="left" vertical="center"/>
    </xf>
    <xf numFmtId="0" fontId="11" fillId="6" borderId="30" xfId="1" applyFont="1" applyFill="1" applyBorder="1" applyAlignment="1">
      <alignment horizontal="center" vertical="center" wrapText="1"/>
    </xf>
    <xf numFmtId="0" fontId="11" fillId="5" borderId="13" xfId="1" applyFont="1" applyFill="1" applyBorder="1" applyAlignment="1">
      <alignment horizontal="center" vertical="center" wrapText="1"/>
    </xf>
    <xf numFmtId="0" fontId="11" fillId="5" borderId="29" xfId="1" applyFont="1" applyFill="1" applyBorder="1" applyAlignment="1">
      <alignment horizontal="center" vertical="center" wrapText="1"/>
    </xf>
    <xf numFmtId="0" fontId="11" fillId="5" borderId="12" xfId="1" applyFont="1" applyFill="1" applyBorder="1" applyAlignment="1">
      <alignment horizontal="center" vertical="center" wrapText="1"/>
    </xf>
    <xf numFmtId="0" fontId="5" fillId="9" borderId="34" xfId="1" applyFont="1" applyFill="1" applyBorder="1" applyAlignment="1">
      <alignment horizontal="center" vertical="center"/>
    </xf>
    <xf numFmtId="0" fontId="5" fillId="9" borderId="35" xfId="1" applyFont="1" applyFill="1" applyBorder="1" applyAlignment="1">
      <alignment horizontal="center" vertical="center"/>
    </xf>
    <xf numFmtId="0" fontId="5" fillId="9" borderId="40" xfId="1" applyFont="1" applyFill="1" applyBorder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0" fontId="11" fillId="6" borderId="0" xfId="1" applyFont="1" applyFill="1" applyAlignment="1">
      <alignment horizontal="left" vertical="center" wrapText="1"/>
    </xf>
    <xf numFmtId="0" fontId="11" fillId="6" borderId="0" xfId="1" applyFont="1" applyFill="1" applyAlignment="1">
      <alignment horizontal="center" vertical="center" wrapText="1"/>
    </xf>
    <xf numFmtId="0" fontId="5" fillId="5" borderId="13" xfId="1" applyFont="1" applyFill="1" applyBorder="1" applyAlignment="1">
      <alignment horizontal="center" vertical="center"/>
    </xf>
    <xf numFmtId="0" fontId="5" fillId="5" borderId="29" xfId="1" applyFont="1" applyFill="1" applyBorder="1" applyAlignment="1">
      <alignment horizontal="center" vertical="center"/>
    </xf>
    <xf numFmtId="0" fontId="5" fillId="5" borderId="12" xfId="1" applyFont="1" applyFill="1" applyBorder="1" applyAlignment="1">
      <alignment horizontal="center" vertical="center"/>
    </xf>
    <xf numFmtId="0" fontId="11" fillId="7" borderId="19" xfId="1" applyFont="1" applyFill="1" applyBorder="1" applyAlignment="1">
      <alignment horizontal="right" vertical="center"/>
    </xf>
    <xf numFmtId="0" fontId="5" fillId="8" borderId="19" xfId="1" applyFont="1" applyFill="1" applyBorder="1" applyAlignment="1">
      <alignment horizontal="left" vertical="center"/>
    </xf>
    <xf numFmtId="0" fontId="5" fillId="0" borderId="41" xfId="1" applyFont="1" applyBorder="1" applyAlignment="1">
      <alignment horizontal="left" vertical="center"/>
    </xf>
    <xf numFmtId="0" fontId="5" fillId="0" borderId="42" xfId="1" applyFont="1" applyBorder="1" applyAlignment="1">
      <alignment horizontal="left" vertical="center"/>
    </xf>
    <xf numFmtId="0" fontId="5" fillId="0" borderId="43" xfId="1" applyFont="1" applyBorder="1" applyAlignment="1">
      <alignment horizontal="left" vertical="center"/>
    </xf>
    <xf numFmtId="0" fontId="11" fillId="7" borderId="19" xfId="1" applyFont="1" applyFill="1" applyBorder="1" applyAlignment="1">
      <alignment vertical="center"/>
    </xf>
    <xf numFmtId="0" fontId="5" fillId="0" borderId="17" xfId="1" applyFont="1" applyBorder="1" applyAlignment="1">
      <alignment horizontal="left" vertical="center"/>
    </xf>
    <xf numFmtId="0" fontId="5" fillId="0" borderId="15" xfId="1" applyFont="1" applyBorder="1" applyAlignment="1">
      <alignment horizontal="left" vertical="center"/>
    </xf>
    <xf numFmtId="0" fontId="5" fillId="0" borderId="14" xfId="1" applyFont="1" applyBorder="1" applyAlignment="1">
      <alignment horizontal="left" vertical="center"/>
    </xf>
    <xf numFmtId="0" fontId="1" fillId="0" borderId="0" xfId="1" applyAlignment="1">
      <alignment vertical="top"/>
    </xf>
    <xf numFmtId="0" fontId="5" fillId="0" borderId="22" xfId="1" applyFont="1" applyBorder="1" applyAlignment="1">
      <alignment horizontal="left" vertical="center"/>
    </xf>
    <xf numFmtId="0" fontId="5" fillId="0" borderId="20" xfId="1" applyFont="1" applyBorder="1" applyAlignment="1">
      <alignment horizontal="left" vertical="center"/>
    </xf>
    <xf numFmtId="0" fontId="5" fillId="0" borderId="21" xfId="1" applyFont="1" applyBorder="1" applyAlignment="1">
      <alignment horizontal="left" vertical="center"/>
    </xf>
    <xf numFmtId="0" fontId="6" fillId="0" borderId="44" xfId="4" applyBorder="1"/>
    <xf numFmtId="0" fontId="6" fillId="11" borderId="44" xfId="4" applyFill="1" applyBorder="1" applyAlignment="1">
      <alignment horizontal="left" vertical="center"/>
    </xf>
    <xf numFmtId="0" fontId="6" fillId="3" borderId="44" xfId="4" applyFill="1" applyBorder="1" applyAlignment="1">
      <alignment horizontal="left" vertical="center"/>
    </xf>
    <xf numFmtId="0" fontId="6" fillId="2" borderId="44" xfId="4" applyFill="1" applyBorder="1" applyAlignment="1">
      <alignment horizontal="left" vertical="center"/>
    </xf>
    <xf numFmtId="0" fontId="6" fillId="2" borderId="24" xfId="4" applyFill="1" applyBorder="1" applyAlignment="1">
      <alignment horizontal="left" vertical="center"/>
    </xf>
    <xf numFmtId="0" fontId="6" fillId="0" borderId="5" xfId="4" applyBorder="1" applyAlignment="1">
      <alignment horizontal="left" vertical="center"/>
    </xf>
    <xf numFmtId="0" fontId="6" fillId="0" borderId="14" xfId="4" applyBorder="1" applyAlignment="1">
      <alignment horizontal="left" vertical="center"/>
    </xf>
    <xf numFmtId="0" fontId="6" fillId="0" borderId="16" xfId="4" applyBorder="1" applyAlignment="1">
      <alignment horizontal="left" vertical="center"/>
    </xf>
    <xf numFmtId="0" fontId="6" fillId="0" borderId="5" xfId="4" applyBorder="1" applyAlignment="1">
      <alignment horizontal="left" vertical="center" shrinkToFit="1"/>
    </xf>
    <xf numFmtId="0" fontId="26" fillId="3" borderId="0" xfId="4" applyFont="1" applyFill="1" applyAlignment="1">
      <alignment horizontal="center" vertical="center"/>
    </xf>
    <xf numFmtId="0" fontId="6" fillId="2" borderId="14" xfId="4" applyFill="1" applyBorder="1" applyAlignment="1">
      <alignment horizontal="left" vertical="center"/>
    </xf>
    <xf numFmtId="0" fontId="6" fillId="2" borderId="16" xfId="4" applyFill="1" applyBorder="1" applyAlignment="1">
      <alignment horizontal="left" vertical="center"/>
    </xf>
    <xf numFmtId="0" fontId="6" fillId="2" borderId="5" xfId="4" applyFill="1" applyBorder="1" applyAlignment="1">
      <alignment horizontal="left" vertical="center"/>
    </xf>
    <xf numFmtId="0" fontId="6" fillId="0" borderId="24" xfId="4" applyBorder="1" applyAlignment="1">
      <alignment horizontal="left" vertical="center"/>
    </xf>
    <xf numFmtId="0" fontId="6" fillId="0" borderId="8" xfId="4" applyBorder="1" applyAlignment="1">
      <alignment horizontal="center"/>
    </xf>
    <xf numFmtId="0" fontId="6" fillId="0" borderId="14" xfId="4" applyBorder="1" applyAlignment="1">
      <alignment horizontal="left"/>
    </xf>
    <xf numFmtId="0" fontId="6" fillId="0" borderId="16" xfId="4" applyBorder="1" applyAlignment="1">
      <alignment horizontal="left"/>
    </xf>
    <xf numFmtId="0" fontId="9" fillId="0" borderId="0" xfId="4" applyFont="1" applyAlignment="1">
      <alignment horizontal="center" vertical="center"/>
    </xf>
    <xf numFmtId="0" fontId="6" fillId="0" borderId="2" xfId="4" applyBorder="1" applyAlignment="1">
      <alignment horizontal="left" vertical="center"/>
    </xf>
    <xf numFmtId="0" fontId="6" fillId="0" borderId="3" xfId="4" applyBorder="1" applyAlignment="1">
      <alignment horizontal="left" vertical="center"/>
    </xf>
    <xf numFmtId="0" fontId="6" fillId="0" borderId="4" xfId="4" applyBorder="1" applyAlignment="1">
      <alignment horizontal="left" vertical="center"/>
    </xf>
    <xf numFmtId="0" fontId="26" fillId="3" borderId="0" xfId="4" applyFont="1" applyFill="1" applyAlignment="1">
      <alignment horizontal="right" vertical="center"/>
    </xf>
    <xf numFmtId="0" fontId="14" fillId="4" borderId="18" xfId="1" applyFont="1" applyFill="1" applyBorder="1" applyAlignment="1">
      <alignment horizontal="center" vertical="center" wrapText="1"/>
    </xf>
    <xf numFmtId="0" fontId="11" fillId="4" borderId="18" xfId="1" applyFont="1" applyFill="1" applyBorder="1" applyAlignment="1">
      <alignment horizontal="center" vertical="center"/>
    </xf>
    <xf numFmtId="0" fontId="15" fillId="4" borderId="18" xfId="1" applyFont="1" applyFill="1" applyBorder="1" applyAlignment="1">
      <alignment horizontal="center" vertical="center" wrapText="1"/>
    </xf>
    <xf numFmtId="0" fontId="11" fillId="6" borderId="39" xfId="1" applyFont="1" applyFill="1" applyBorder="1" applyAlignment="1">
      <alignment horizontal="center" vertical="center"/>
    </xf>
    <xf numFmtId="0" fontId="11" fillId="6" borderId="19" xfId="1" applyFont="1" applyFill="1" applyBorder="1" applyAlignment="1">
      <alignment horizontal="center" vertical="center"/>
    </xf>
    <xf numFmtId="0" fontId="26" fillId="3" borderId="0" xfId="4" applyFont="1" applyFill="1" applyAlignment="1">
      <alignment horizontal="left" vertical="center"/>
    </xf>
    <xf numFmtId="0" fontId="24" fillId="8" borderId="30" xfId="7" applyFont="1" applyFill="1" applyBorder="1" applyAlignment="1" applyProtection="1">
      <alignment horizontal="center" vertical="center" wrapText="1"/>
    </xf>
    <xf numFmtId="0" fontId="24" fillId="8" borderId="29" xfId="7" applyFont="1" applyFill="1" applyBorder="1" applyAlignment="1" applyProtection="1">
      <alignment horizontal="center" vertical="center" wrapText="1"/>
    </xf>
    <xf numFmtId="0" fontId="24" fillId="8" borderId="13" xfId="7" applyFont="1" applyFill="1" applyBorder="1" applyAlignment="1" applyProtection="1">
      <alignment horizontal="center" vertical="center" wrapText="1"/>
    </xf>
    <xf numFmtId="0" fontId="24" fillId="8" borderId="27" xfId="7" applyFont="1" applyFill="1" applyBorder="1" applyAlignment="1" applyProtection="1">
      <alignment horizontal="center" vertical="center" wrapText="1"/>
    </xf>
    <xf numFmtId="0" fontId="24" fillId="8" borderId="7" xfId="7" applyFont="1" applyFill="1" applyBorder="1" applyAlignment="1" applyProtection="1">
      <alignment horizontal="center" vertical="center" wrapText="1"/>
    </xf>
    <xf numFmtId="0" fontId="24" fillId="8" borderId="11" xfId="7" applyFont="1" applyFill="1" applyBorder="1" applyAlignment="1" applyProtection="1">
      <alignment horizontal="center" vertical="center" wrapText="1"/>
    </xf>
    <xf numFmtId="0" fontId="11" fillId="10" borderId="33" xfId="7" applyFont="1" applyFill="1" applyBorder="1" applyAlignment="1" applyProtection="1">
      <alignment horizontal="center" vertical="center" wrapText="1"/>
    </xf>
    <xf numFmtId="0" fontId="11" fillId="10" borderId="32" xfId="7" applyFont="1" applyFill="1" applyBorder="1" applyAlignment="1" applyProtection="1">
      <alignment horizontal="center" vertical="center" wrapText="1"/>
    </xf>
    <xf numFmtId="0" fontId="11" fillId="10" borderId="31" xfId="7" applyFont="1" applyFill="1" applyBorder="1" applyAlignment="1" applyProtection="1">
      <alignment horizontal="center" vertical="center" wrapText="1"/>
    </xf>
    <xf numFmtId="0" fontId="22" fillId="0" borderId="30" xfId="7" applyFont="1" applyBorder="1" applyAlignment="1" applyProtection="1">
      <alignment horizontal="center" vertical="top" wrapText="1"/>
    </xf>
    <xf numFmtId="0" fontId="22" fillId="0" borderId="29" xfId="7" applyFont="1" applyBorder="1" applyAlignment="1" applyProtection="1">
      <alignment horizontal="center" vertical="top" wrapText="1"/>
    </xf>
    <xf numFmtId="0" fontId="22" fillId="0" borderId="13" xfId="7" applyFont="1" applyBorder="1" applyAlignment="1" applyProtection="1">
      <alignment horizontal="center" vertical="top" wrapText="1"/>
    </xf>
    <xf numFmtId="0" fontId="22" fillId="0" borderId="37" xfId="7" applyFont="1" applyBorder="1" applyAlignment="1" applyProtection="1">
      <alignment horizontal="center" vertical="top" wrapText="1"/>
    </xf>
    <xf numFmtId="0" fontId="22" fillId="0" borderId="0" xfId="7" applyFont="1" applyBorder="1" applyAlignment="1" applyProtection="1">
      <alignment horizontal="center" vertical="top" wrapText="1"/>
    </xf>
    <xf numFmtId="0" fontId="22" fillId="0" borderId="1" xfId="7" applyFont="1" applyBorder="1" applyAlignment="1" applyProtection="1">
      <alignment horizontal="center" vertical="top" wrapText="1"/>
    </xf>
    <xf numFmtId="0" fontId="22" fillId="0" borderId="36" xfId="7" applyFont="1" applyBorder="1" applyAlignment="1" applyProtection="1">
      <alignment horizontal="center" vertical="top" wrapText="1"/>
    </xf>
    <xf numFmtId="0" fontId="22" fillId="0" borderId="35" xfId="7" applyFont="1" applyBorder="1" applyAlignment="1" applyProtection="1">
      <alignment horizontal="center" vertical="top" wrapText="1"/>
    </xf>
    <xf numFmtId="0" fontId="22" fillId="0" borderId="34" xfId="7" applyFont="1" applyBorder="1" applyAlignment="1" applyProtection="1">
      <alignment horizontal="center" vertical="top" wrapText="1"/>
    </xf>
    <xf numFmtId="0" fontId="16" fillId="0" borderId="33" xfId="1" applyFont="1" applyBorder="1" applyAlignment="1">
      <alignment horizontal="left" vertical="center"/>
    </xf>
    <xf numFmtId="0" fontId="16" fillId="0" borderId="32" xfId="1" applyFont="1" applyBorder="1" applyAlignment="1">
      <alignment horizontal="left" vertical="center"/>
    </xf>
    <xf numFmtId="0" fontId="16" fillId="0" borderId="31" xfId="1" applyFont="1" applyBorder="1" applyAlignment="1">
      <alignment horizontal="left" vertical="center"/>
    </xf>
    <xf numFmtId="0" fontId="11" fillId="6" borderId="39" xfId="1" applyFont="1" applyFill="1" applyBorder="1" applyAlignment="1">
      <alignment horizontal="left" vertical="center" wrapText="1"/>
    </xf>
    <xf numFmtId="0" fontId="11" fillId="6" borderId="19" xfId="1" applyFont="1" applyFill="1" applyBorder="1" applyAlignment="1">
      <alignment horizontal="left" vertical="center" wrapText="1"/>
    </xf>
    <xf numFmtId="0" fontId="4" fillId="8" borderId="23" xfId="1" applyFont="1" applyFill="1" applyBorder="1" applyAlignment="1">
      <alignment horizontal="center" vertical="center"/>
    </xf>
    <xf numFmtId="0" fontId="4" fillId="8" borderId="9" xfId="1" applyFont="1" applyFill="1" applyBorder="1" applyAlignment="1">
      <alignment horizontal="center" vertical="center"/>
    </xf>
    <xf numFmtId="0" fontId="4" fillId="8" borderId="17" xfId="1" applyFont="1" applyFill="1" applyBorder="1" applyAlignment="1">
      <alignment horizontal="center" vertical="center"/>
    </xf>
    <xf numFmtId="0" fontId="11" fillId="6" borderId="25" xfId="1" applyFont="1" applyFill="1" applyBorder="1" applyAlignment="1">
      <alignment horizontal="left" vertical="center" wrapText="1"/>
    </xf>
    <xf numFmtId="0" fontId="4" fillId="8" borderId="9" xfId="1" applyFont="1" applyFill="1" applyBorder="1" applyAlignment="1">
      <alignment horizontal="center" vertical="center" wrapText="1"/>
    </xf>
    <xf numFmtId="0" fontId="4" fillId="8" borderId="17" xfId="1" applyFont="1" applyFill="1" applyBorder="1" applyAlignment="1">
      <alignment horizontal="center" vertical="center" wrapText="1"/>
    </xf>
    <xf numFmtId="0" fontId="15" fillId="6" borderId="14" xfId="1" applyFont="1" applyFill="1" applyBorder="1" applyAlignment="1">
      <alignment horizontal="center" vertical="center" wrapText="1"/>
    </xf>
    <xf numFmtId="0" fontId="15" fillId="6" borderId="15" xfId="1" applyFont="1" applyFill="1" applyBorder="1" applyAlignment="1">
      <alignment horizontal="center" vertical="center" wrapText="1"/>
    </xf>
    <xf numFmtId="0" fontId="15" fillId="6" borderId="17" xfId="1" applyFont="1" applyFill="1" applyBorder="1" applyAlignment="1">
      <alignment horizontal="center" vertical="center" wrapText="1"/>
    </xf>
    <xf numFmtId="0" fontId="11" fillId="6" borderId="39" xfId="1" applyFont="1" applyFill="1" applyBorder="1" applyAlignment="1">
      <alignment vertical="center" wrapText="1"/>
    </xf>
    <xf numFmtId="0" fontId="11" fillId="6" borderId="19" xfId="1" applyFont="1" applyFill="1" applyBorder="1" applyAlignment="1">
      <alignment vertical="center" wrapText="1"/>
    </xf>
    <xf numFmtId="0" fontId="4" fillId="8" borderId="26" xfId="1" applyFont="1" applyFill="1" applyBorder="1" applyAlignment="1">
      <alignment horizontal="center" vertical="center"/>
    </xf>
    <xf numFmtId="0" fontId="11" fillId="6" borderId="19" xfId="1" applyFont="1" applyFill="1" applyBorder="1" applyAlignment="1">
      <alignment horizontal="center" vertical="center" wrapText="1"/>
    </xf>
    <xf numFmtId="0" fontId="11" fillId="6" borderId="0" xfId="1" applyFont="1" applyFill="1" applyAlignment="1">
      <alignment horizontal="center" vertical="center" wrapText="1"/>
    </xf>
    <xf numFmtId="0" fontId="4" fillId="8" borderId="10" xfId="1" applyFont="1" applyFill="1" applyBorder="1" applyAlignment="1">
      <alignment horizontal="center" vertical="center"/>
    </xf>
    <xf numFmtId="0" fontId="4" fillId="6" borderId="39" xfId="1" applyFont="1" applyFill="1" applyBorder="1" applyAlignment="1">
      <alignment horizontal="left" vertical="center"/>
    </xf>
    <xf numFmtId="0" fontId="4" fillId="6" borderId="19" xfId="1" applyFont="1" applyFill="1" applyBorder="1" applyAlignment="1">
      <alignment horizontal="left" vertical="center"/>
    </xf>
    <xf numFmtId="0" fontId="11" fillId="6" borderId="39" xfId="1" applyFont="1" applyFill="1" applyBorder="1" applyAlignment="1">
      <alignment horizontal="left" vertical="center" shrinkToFit="1"/>
    </xf>
    <xf numFmtId="0" fontId="11" fillId="6" borderId="19" xfId="1" applyFont="1" applyFill="1" applyBorder="1" applyAlignment="1">
      <alignment horizontal="left" vertical="center" shrinkToFit="1"/>
    </xf>
    <xf numFmtId="0" fontId="17" fillId="6" borderId="19" xfId="1" applyFont="1" applyFill="1" applyBorder="1" applyAlignment="1">
      <alignment horizontal="center" vertical="center" wrapText="1"/>
    </xf>
    <xf numFmtId="0" fontId="18" fillId="8" borderId="23" xfId="1" applyFont="1" applyFill="1" applyBorder="1" applyAlignment="1">
      <alignment horizontal="center" vertical="center"/>
    </xf>
    <xf numFmtId="0" fontId="18" fillId="8" borderId="10" xfId="1" applyFont="1" applyFill="1" applyBorder="1" applyAlignment="1">
      <alignment horizontal="center" vertical="center"/>
    </xf>
    <xf numFmtId="0" fontId="1" fillId="8" borderId="19" xfId="1" applyFill="1" applyBorder="1" applyAlignment="1">
      <alignment horizontal="center" vertical="center"/>
    </xf>
    <xf numFmtId="0" fontId="11" fillId="5" borderId="19" xfId="1" applyFont="1" applyFill="1" applyBorder="1" applyAlignment="1">
      <alignment horizontal="center" vertical="center" wrapText="1"/>
    </xf>
    <xf numFmtId="0" fontId="11" fillId="9" borderId="19" xfId="1" applyFont="1" applyFill="1" applyBorder="1" applyAlignment="1">
      <alignment horizontal="center" vertical="center" wrapText="1"/>
    </xf>
    <xf numFmtId="0" fontId="11" fillId="0" borderId="33" xfId="7" applyFont="1" applyBorder="1" applyAlignment="1" applyProtection="1">
      <alignment horizontal="right" vertical="center" wrapText="1"/>
    </xf>
    <xf numFmtId="0" fontId="11" fillId="0" borderId="32" xfId="7" applyFont="1" applyBorder="1" applyAlignment="1" applyProtection="1">
      <alignment horizontal="right" vertical="center" wrapText="1"/>
    </xf>
    <xf numFmtId="168" fontId="11" fillId="0" borderId="0" xfId="1" applyNumberFormat="1" applyFont="1" applyAlignment="1">
      <alignment horizontal="left" vertical="center" wrapText="1"/>
    </xf>
    <xf numFmtId="168" fontId="11" fillId="0" borderId="1" xfId="1" applyNumberFormat="1" applyFont="1" applyBorder="1" applyAlignment="1">
      <alignment horizontal="left" vertical="center" wrapText="1"/>
    </xf>
    <xf numFmtId="0" fontId="20" fillId="9" borderId="19" xfId="1" applyFont="1" applyFill="1" applyBorder="1" applyAlignment="1">
      <alignment horizontal="center" vertical="center" wrapText="1"/>
    </xf>
    <xf numFmtId="0" fontId="23" fillId="9" borderId="19" xfId="1" applyFont="1" applyFill="1" applyBorder="1" applyAlignment="1">
      <alignment horizontal="center" vertical="center" wrapText="1"/>
    </xf>
    <xf numFmtId="0" fontId="11" fillId="10" borderId="19" xfId="1" applyFont="1" applyFill="1" applyBorder="1" applyAlignment="1">
      <alignment horizontal="center" vertical="center" wrapText="1"/>
    </xf>
    <xf numFmtId="0" fontId="11" fillId="8" borderId="19" xfId="1" applyFont="1" applyFill="1" applyBorder="1" applyAlignment="1">
      <alignment horizontal="center" vertical="center" wrapText="1"/>
    </xf>
    <xf numFmtId="0" fontId="11" fillId="8" borderId="28" xfId="1" applyFont="1" applyFill="1" applyBorder="1" applyAlignment="1">
      <alignment horizontal="center" vertical="center" wrapText="1"/>
    </xf>
    <xf numFmtId="0" fontId="21" fillId="9" borderId="19" xfId="1" applyFont="1" applyFill="1" applyBorder="1" applyAlignment="1">
      <alignment horizontal="center" vertical="center" wrapText="1"/>
    </xf>
    <xf numFmtId="4" fontId="21" fillId="9" borderId="19" xfId="1" applyNumberFormat="1" applyFont="1" applyFill="1" applyBorder="1" applyAlignment="1">
      <alignment horizontal="center" vertical="center" wrapText="1"/>
    </xf>
  </cellXfs>
  <cellStyles count="30">
    <cellStyle name="Accent" xfId="11" xr:uid="{7B00FAA6-A65E-4552-9117-FCB7EAB3D210}"/>
    <cellStyle name="Accent 1" xfId="12" xr:uid="{3F84FE05-7589-402C-8E4E-E68514512345}"/>
    <cellStyle name="Accent 2" xfId="13" xr:uid="{1098B67A-DB15-4319-91D9-245926745624}"/>
    <cellStyle name="Accent 3" xfId="14" xr:uid="{83B6CE82-07E6-4505-86C1-9EF098473FA5}"/>
    <cellStyle name="Bad" xfId="15" xr:uid="{2C29D5D6-C762-402F-9B0D-6DAEBC8DD939}"/>
    <cellStyle name="Error" xfId="16" xr:uid="{E23D8C94-F2C7-4A68-9837-93AF364D71B0}"/>
    <cellStyle name="Footnote" xfId="17" xr:uid="{A9075F34-C5EC-4E77-B28F-F66B97E6342B}"/>
    <cellStyle name="Good" xfId="18" xr:uid="{87F66D24-7045-4ADB-BECF-72B1A13E345B}"/>
    <cellStyle name="Heading" xfId="19" xr:uid="{1BB389F6-6D1F-498A-A333-9B913D60051E}"/>
    <cellStyle name="Heading (user)" xfId="20" xr:uid="{CFC0BAAE-9A29-4DE5-9931-B1D6710DF535}"/>
    <cellStyle name="Heading 1" xfId="21" xr:uid="{8A70F3F4-2430-402B-BEF2-DB8C4E31B8A7}"/>
    <cellStyle name="Heading 2" xfId="22" xr:uid="{1F1AA890-1129-44B3-A799-3FE2FA8C59F8}"/>
    <cellStyle name="Hiperlink 2" xfId="7" xr:uid="{06F20867-6F3E-4184-9C78-04B938C04681}"/>
    <cellStyle name="Hyperlink" xfId="23" xr:uid="{7FF57FA1-8C4D-4923-9363-43B454B944B0}"/>
    <cellStyle name="Neutral" xfId="24" xr:uid="{4981F3AE-9DD5-49A8-81F2-070E69D4C119}"/>
    <cellStyle name="Normal" xfId="0" builtinId="0"/>
    <cellStyle name="Normal 2" xfId="2" xr:uid="{8513E4A1-474A-4A5D-9854-1212FF864EA1}"/>
    <cellStyle name="Normal 2 2" xfId="5" xr:uid="{1FB8DF1B-64C8-4C71-A124-74D90BD78C40}"/>
    <cellStyle name="Normal 2 3" xfId="8" xr:uid="{7E4F6D00-D62C-4673-A087-86C0A89DD6A4}"/>
    <cellStyle name="Normal 3" xfId="1" xr:uid="{6D095D4C-4380-45BD-A55E-30B1FEDC4C79}"/>
    <cellStyle name="Normal 4" xfId="4" xr:uid="{A33F62C5-11FE-44FE-AA8D-0000B5164A23}"/>
    <cellStyle name="Normal 5" xfId="6" xr:uid="{2A9A8235-7416-4C39-A839-31BA73C5EBC7}"/>
    <cellStyle name="Normal 6" xfId="9" xr:uid="{9FEEE873-0DFE-4650-B859-4959E6F855A9}"/>
    <cellStyle name="Note" xfId="25" xr:uid="{1865D73D-C0CE-4E89-AE9D-53D3B7A78766}"/>
    <cellStyle name="Porcentagem 2" xfId="3" xr:uid="{77037A0D-E7E0-4A81-B9F5-7953A6D8021C}"/>
    <cellStyle name="Porcentagem 3" xfId="10" xr:uid="{C6C6AEA4-6784-4A49-B954-6AB510CE7EDF}"/>
    <cellStyle name="Result" xfId="26" xr:uid="{BA099E0B-9043-41AF-A15C-2FEDDAB5492B}"/>
    <cellStyle name="Status" xfId="27" xr:uid="{B3E422DA-0C5D-4D65-AE4F-CCD61E5B58B9}"/>
    <cellStyle name="Text" xfId="28" xr:uid="{B2ADB85E-2CA8-42EC-B5CD-1E2819D1E079}"/>
    <cellStyle name="Warning" xfId="29" xr:uid="{24D812CC-1637-40D3-9170-35FF7555AD15}"/>
  </cellStyles>
  <dxfs count="3">
    <dxf>
      <fill>
        <patternFill>
          <bgColor rgb="FFEE0000"/>
        </patternFill>
      </fill>
    </dxf>
    <dxf>
      <fill>
        <patternFill>
          <bgColor rgb="FFEE0000"/>
        </patternFill>
      </fill>
    </dxf>
    <dxf>
      <fill>
        <patternFill>
          <bgColor rgb="FFEE0000"/>
        </patternFill>
      </fill>
    </dxf>
  </dxfs>
  <tableStyles count="0" defaultTableStyle="TableStyleMedium2" defaultPivotStyle="PivotStyleLight16"/>
  <colors>
    <mruColors>
      <color rgb="FFFFE285"/>
      <color rgb="FFFFECAF"/>
      <color rgb="FFEAB200"/>
      <color rgb="FF381850"/>
      <color rgb="FF512373"/>
      <color rgb="FF36174D"/>
      <color rgb="FF0000FF"/>
      <color rgb="FFFFCD2D"/>
      <color rgb="FF926C00"/>
      <color rgb="FFBF3F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302400</xdr:colOff>
      <xdr:row>27</xdr:row>
      <xdr:rowOff>0</xdr:rowOff>
    </xdr:from>
    <xdr:to>
      <xdr:col>33</xdr:col>
      <xdr:colOff>180001</xdr:colOff>
      <xdr:row>30</xdr:row>
      <xdr:rowOff>103387</xdr:rowOff>
    </xdr:to>
    <xdr:sp macro="" textlink="">
      <xdr:nvSpPr>
        <xdr:cNvPr id="2" name="CaixaDeTexto 3">
          <a:extLst>
            <a:ext uri="{FF2B5EF4-FFF2-40B4-BE49-F238E27FC236}">
              <a16:creationId xmlns:a16="http://schemas.microsoft.com/office/drawing/2014/main" id="{764128BC-3531-4F75-89A0-4073E60133EA}"/>
            </a:ext>
          </a:extLst>
        </xdr:cNvPr>
        <xdr:cNvSpPr/>
      </xdr:nvSpPr>
      <xdr:spPr>
        <a:xfrm>
          <a:off x="19828650" y="5943600"/>
          <a:ext cx="2877976" cy="69393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t">
          <a:noAutofit/>
        </a:bodyPr>
        <a:lstStyle/>
        <a:p>
          <a:pPr algn="ctr"/>
          <a:r>
            <a:rPr lang="pt-BR" sz="1100" b="1" strike="noStrike" spc="-1">
              <a:solidFill>
                <a:srgbClr val="000000"/>
              </a:solidFill>
              <a:latin typeface="Calibri"/>
            </a:rPr>
            <a:t>Arq. Urb. Karine Bueno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CAU A76292-0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000" b="0" strike="noStrike" spc="-1">
              <a:solidFill>
                <a:srgbClr val="000000"/>
              </a:solidFill>
              <a:latin typeface="Calibri"/>
            </a:rPr>
            <a:t>Gerência de Análise de Grande Porte e Impacto</a:t>
          </a:r>
          <a:endParaRPr lang="pt-BR" sz="1000" b="0" strike="noStrike" spc="-1">
            <a:latin typeface="Times New Roman"/>
          </a:endParaRPr>
        </a:p>
      </xdr:txBody>
    </xdr:sp>
    <xdr:clientData/>
  </xdr:twoCellAnchor>
  <xdr:twoCellAnchor editAs="oneCell">
    <xdr:from>
      <xdr:col>22</xdr:col>
      <xdr:colOff>623880</xdr:colOff>
      <xdr:row>27</xdr:row>
      <xdr:rowOff>0</xdr:rowOff>
    </xdr:from>
    <xdr:to>
      <xdr:col>28</xdr:col>
      <xdr:colOff>1433</xdr:colOff>
      <xdr:row>31</xdr:row>
      <xdr:rowOff>107989</xdr:rowOff>
    </xdr:to>
    <xdr:sp macro="" textlink="">
      <xdr:nvSpPr>
        <xdr:cNvPr id="3" name="CaixaDeTexto 133">
          <a:extLst>
            <a:ext uri="{FF2B5EF4-FFF2-40B4-BE49-F238E27FC236}">
              <a16:creationId xmlns:a16="http://schemas.microsoft.com/office/drawing/2014/main" id="{4B32EA10-6E2F-4671-9042-68B57EA675CB}"/>
            </a:ext>
          </a:extLst>
        </xdr:cNvPr>
        <xdr:cNvSpPr/>
      </xdr:nvSpPr>
      <xdr:spPr>
        <a:xfrm>
          <a:off x="16530630" y="5943600"/>
          <a:ext cx="2997053" cy="89856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pt-BR" sz="1100" b="1" strike="noStrike" spc="-1">
              <a:solidFill>
                <a:srgbClr val="000000"/>
              </a:solidFill>
              <a:latin typeface="Calibri"/>
            </a:rPr>
            <a:t>Arq. Urb. Adriana Figueiredo Carvalho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CAU A50647-8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000" b="0" strike="noStrike" spc="-1">
              <a:solidFill>
                <a:srgbClr val="000000"/>
              </a:solidFill>
              <a:latin typeface="Calibri"/>
            </a:rPr>
            <a:t>Gerência de Análise de Grande Porte e Impacto</a:t>
          </a:r>
          <a:endParaRPr lang="pt-BR" sz="1000" b="0" strike="noStrike" spc="-1">
            <a:latin typeface="Times New Roman"/>
          </a:endParaRPr>
        </a:p>
      </xdr:txBody>
    </xdr:sp>
    <xdr:clientData/>
  </xdr:twoCellAnchor>
  <xdr:twoCellAnchor editAs="oneCell">
    <xdr:from>
      <xdr:col>28</xdr:col>
      <xdr:colOff>472680</xdr:colOff>
      <xdr:row>27</xdr:row>
      <xdr:rowOff>0</xdr:rowOff>
    </xdr:from>
    <xdr:to>
      <xdr:col>33</xdr:col>
      <xdr:colOff>331201</xdr:colOff>
      <xdr:row>30</xdr:row>
      <xdr:rowOff>134745</xdr:rowOff>
    </xdr:to>
    <xdr:sp macro="" textlink="">
      <xdr:nvSpPr>
        <xdr:cNvPr id="4" name="CaixaDeTexto 134">
          <a:extLst>
            <a:ext uri="{FF2B5EF4-FFF2-40B4-BE49-F238E27FC236}">
              <a16:creationId xmlns:a16="http://schemas.microsoft.com/office/drawing/2014/main" id="{5B5529B1-CC7B-4CBE-9938-4C8FEA5DBA71}"/>
            </a:ext>
          </a:extLst>
        </xdr:cNvPr>
        <xdr:cNvSpPr/>
      </xdr:nvSpPr>
      <xdr:spPr>
        <a:xfrm>
          <a:off x="19998930" y="5943600"/>
          <a:ext cx="2858896" cy="72529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pt-BR" sz="1100" b="1" strike="noStrike" spc="-1">
              <a:solidFill>
                <a:srgbClr val="000000"/>
              </a:solidFill>
              <a:latin typeface="Calibri"/>
            </a:rPr>
            <a:t>Arq. Urb. Mirian Mendonça de Campos Curado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CAU</a:t>
          </a:r>
          <a:r>
            <a:rPr lang="pt-BR" sz="1100" b="1" strike="noStrike" spc="-1">
              <a:solidFill>
                <a:srgbClr val="000000"/>
              </a:solidFill>
              <a:latin typeface="Calibri"/>
            </a:rPr>
            <a:t>  </a:t>
          </a:r>
          <a:r>
            <a:rPr lang="pt-BR" sz="1100" b="0" strike="noStrike" spc="-1">
              <a:solidFill>
                <a:srgbClr val="000000"/>
              </a:solidFill>
              <a:latin typeface="Calibri"/>
            </a:rPr>
            <a:t>A31420-0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000" b="0" strike="noStrike" spc="-1">
              <a:solidFill>
                <a:srgbClr val="000000"/>
              </a:solidFill>
              <a:latin typeface="Calibri"/>
            </a:rPr>
            <a:t>Gerência de Análise de Grande Porte e Impacto</a:t>
          </a:r>
          <a:endParaRPr lang="pt-BR" sz="1000" b="0" strike="noStrike" spc="-1">
            <a:latin typeface="Times New Roman"/>
          </a:endParaRPr>
        </a:p>
      </xdr:txBody>
    </xdr:sp>
    <xdr:clientData/>
  </xdr:twoCellAnchor>
  <xdr:twoCellAnchor editAs="oneCell">
    <xdr:from>
      <xdr:col>22</xdr:col>
      <xdr:colOff>391320</xdr:colOff>
      <xdr:row>27</xdr:row>
      <xdr:rowOff>0</xdr:rowOff>
    </xdr:from>
    <xdr:to>
      <xdr:col>28</xdr:col>
      <xdr:colOff>200160</xdr:colOff>
      <xdr:row>31</xdr:row>
      <xdr:rowOff>185178</xdr:rowOff>
    </xdr:to>
    <xdr:sp macro="" textlink="">
      <xdr:nvSpPr>
        <xdr:cNvPr id="5" name="CaixaDeTexto 136">
          <a:extLst>
            <a:ext uri="{FF2B5EF4-FFF2-40B4-BE49-F238E27FC236}">
              <a16:creationId xmlns:a16="http://schemas.microsoft.com/office/drawing/2014/main" id="{A5B78D17-F44A-4F4A-8157-88D861126C70}"/>
            </a:ext>
          </a:extLst>
        </xdr:cNvPr>
        <xdr:cNvSpPr/>
      </xdr:nvSpPr>
      <xdr:spPr>
        <a:xfrm>
          <a:off x="16317120" y="5943600"/>
          <a:ext cx="3409290" cy="97575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pt-BR" sz="1100" b="1" strike="noStrike" spc="-1">
              <a:solidFill>
                <a:srgbClr val="000000"/>
              </a:solidFill>
              <a:latin typeface="Calibri"/>
            </a:rPr>
            <a:t>Arq. Urb. Giovana Pacheco Protásio Meister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CAU A70795-3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Gerência de Análise e Licenciamento de Edificações</a:t>
          </a:r>
          <a:endParaRPr lang="pt-BR" sz="1100" b="0" strike="noStrike" spc="-1">
            <a:latin typeface="Times New Roman"/>
          </a:endParaRPr>
        </a:p>
      </xdr:txBody>
    </xdr:sp>
    <xdr:clientData/>
  </xdr:twoCellAnchor>
  <xdr:twoCellAnchor editAs="oneCell">
    <xdr:from>
      <xdr:col>22</xdr:col>
      <xdr:colOff>623880</xdr:colOff>
      <xdr:row>27</xdr:row>
      <xdr:rowOff>0</xdr:rowOff>
    </xdr:from>
    <xdr:to>
      <xdr:col>28</xdr:col>
      <xdr:colOff>6803</xdr:colOff>
      <xdr:row>36</xdr:row>
      <xdr:rowOff>46247</xdr:rowOff>
    </xdr:to>
    <xdr:sp macro="" textlink="">
      <xdr:nvSpPr>
        <xdr:cNvPr id="6" name="CaixaDeTexto 133">
          <a:extLst>
            <a:ext uri="{FF2B5EF4-FFF2-40B4-BE49-F238E27FC236}">
              <a16:creationId xmlns:a16="http://schemas.microsoft.com/office/drawing/2014/main" id="{782B6682-F7F0-472D-B524-ADA89CE59D44}"/>
            </a:ext>
          </a:extLst>
        </xdr:cNvPr>
        <xdr:cNvSpPr/>
      </xdr:nvSpPr>
      <xdr:spPr>
        <a:xfrm>
          <a:off x="16530630" y="5943600"/>
          <a:ext cx="3002423" cy="1835705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pt-BR" sz="1100" b="1" strike="noStrike" spc="-1">
              <a:solidFill>
                <a:srgbClr val="000000"/>
              </a:solidFill>
              <a:latin typeface="Calibri"/>
            </a:rPr>
            <a:t>Arq. Urb. Anne Cristina Oliveira Machado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CAU A17615-0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000" b="0" strike="noStrike" spc="-1">
              <a:solidFill>
                <a:srgbClr val="000000"/>
              </a:solidFill>
              <a:latin typeface="Calibri"/>
            </a:rPr>
            <a:t>Gerência de Análise e Licenciamento de Edificações</a:t>
          </a:r>
          <a:endParaRPr lang="pt-BR" sz="1000" b="0" strike="noStrike" spc="-1">
            <a:latin typeface="Times New Roman"/>
          </a:endParaRPr>
        </a:p>
      </xdr:txBody>
    </xdr:sp>
    <xdr:clientData/>
  </xdr:twoCellAnchor>
  <xdr:twoCellAnchor editAs="oneCell">
    <xdr:from>
      <xdr:col>23</xdr:col>
      <xdr:colOff>20520</xdr:colOff>
      <xdr:row>27</xdr:row>
      <xdr:rowOff>0</xdr:rowOff>
    </xdr:from>
    <xdr:to>
      <xdr:col>28</xdr:col>
      <xdr:colOff>21599</xdr:colOff>
      <xdr:row>30</xdr:row>
      <xdr:rowOff>193134</xdr:rowOff>
    </xdr:to>
    <xdr:sp macro="" textlink="">
      <xdr:nvSpPr>
        <xdr:cNvPr id="7" name="CaixaDeTexto 133">
          <a:extLst>
            <a:ext uri="{FF2B5EF4-FFF2-40B4-BE49-F238E27FC236}">
              <a16:creationId xmlns:a16="http://schemas.microsoft.com/office/drawing/2014/main" id="{4566118B-CBAD-4A89-A08D-1EEB2174744B}"/>
            </a:ext>
          </a:extLst>
        </xdr:cNvPr>
        <xdr:cNvSpPr/>
      </xdr:nvSpPr>
      <xdr:spPr>
        <a:xfrm>
          <a:off x="16546395" y="5943600"/>
          <a:ext cx="3001454" cy="783685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r>
            <a:rPr lang="pt-BR" sz="1100" b="1" strike="noStrike" spc="-1">
              <a:solidFill>
                <a:srgbClr val="000000"/>
              </a:solidFill>
              <a:latin typeface="Calibri"/>
            </a:rPr>
            <a:t>Arq. Urb. Mariana Roldi</a:t>
          </a:r>
          <a:endParaRPr lang="pt-BR" sz="1100" b="0" strike="noStrike" spc="-1">
            <a:latin typeface="Times New Roman"/>
          </a:endParaRPr>
        </a:p>
        <a:p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r>
            <a:rPr lang="pt-BR" sz="1100" b="0" strike="noStrike" spc="-1">
              <a:solidFill>
                <a:srgbClr val="000000"/>
              </a:solidFill>
              <a:latin typeface="Calibri"/>
            </a:rPr>
            <a:t>                                    CAU</a:t>
          </a:r>
          <a:r>
            <a:rPr lang="pt-BR" sz="1100" b="1" strike="noStrike" spc="-1">
              <a:solidFill>
                <a:srgbClr val="000000"/>
              </a:solidFill>
              <a:latin typeface="Calibri"/>
            </a:rPr>
            <a:t> </a:t>
          </a:r>
          <a:r>
            <a:rPr lang="pt-BR" sz="1100" b="0" strike="noStrike" spc="-1">
              <a:solidFill>
                <a:srgbClr val="000000"/>
              </a:solidFill>
              <a:latin typeface="Calibri"/>
            </a:rPr>
            <a:t>A152923-4</a:t>
          </a:r>
          <a:endParaRPr lang="pt-BR" sz="1100" b="0" strike="noStrike" spc="-1">
            <a:latin typeface="Times New Roman"/>
          </a:endParaRPr>
        </a:p>
        <a:p>
          <a:r>
            <a:rPr lang="pt-BR" sz="1000" b="0" strike="noStrike" spc="-1">
              <a:solidFill>
                <a:srgbClr val="000000"/>
              </a:solidFill>
              <a:latin typeface="Calibri"/>
            </a:rPr>
            <a:t>Gerência de Análise e Licenciamento de Edificações</a:t>
          </a:r>
          <a:endParaRPr lang="pt-BR" sz="1000" b="0" strike="noStrike" spc="-1">
            <a:latin typeface="Times New Roman"/>
          </a:endParaRPr>
        </a:p>
      </xdr:txBody>
    </xdr:sp>
    <xdr:clientData/>
  </xdr:twoCellAnchor>
  <xdr:twoCellAnchor editAs="oneCell">
    <xdr:from>
      <xdr:col>23</xdr:col>
      <xdr:colOff>20520</xdr:colOff>
      <xdr:row>27</xdr:row>
      <xdr:rowOff>0</xdr:rowOff>
    </xdr:from>
    <xdr:to>
      <xdr:col>28</xdr:col>
      <xdr:colOff>719</xdr:colOff>
      <xdr:row>30</xdr:row>
      <xdr:rowOff>122467</xdr:rowOff>
    </xdr:to>
    <xdr:sp macro="" textlink="">
      <xdr:nvSpPr>
        <xdr:cNvPr id="8" name="CaixaDeTexto 133">
          <a:extLst>
            <a:ext uri="{FF2B5EF4-FFF2-40B4-BE49-F238E27FC236}">
              <a16:creationId xmlns:a16="http://schemas.microsoft.com/office/drawing/2014/main" id="{13048F09-343B-4CEE-BD24-0ECB84FF7C34}"/>
            </a:ext>
          </a:extLst>
        </xdr:cNvPr>
        <xdr:cNvSpPr/>
      </xdr:nvSpPr>
      <xdr:spPr>
        <a:xfrm>
          <a:off x="16546395" y="5943600"/>
          <a:ext cx="2980574" cy="71301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pt-BR" sz="1100" b="1" strike="noStrike" spc="-1">
              <a:solidFill>
                <a:srgbClr val="000000"/>
              </a:solidFill>
              <a:latin typeface="Calibri"/>
            </a:rPr>
            <a:t>Arq. Urb. Cristiane Mota Nóbrega Andrade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CAU A47894-6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000" b="0" strike="noStrike" spc="-1">
              <a:solidFill>
                <a:srgbClr val="000000"/>
              </a:solidFill>
              <a:latin typeface="Calibri"/>
            </a:rPr>
            <a:t>Gerência de Análise e Licenciamento de Edificações</a:t>
          </a:r>
          <a:endParaRPr lang="pt-BR" sz="1000" b="0" strike="noStrike" spc="-1">
            <a:latin typeface="Times New Roman"/>
          </a:endParaRPr>
        </a:p>
      </xdr:txBody>
    </xdr:sp>
    <xdr:clientData/>
  </xdr:twoCellAnchor>
  <xdr:twoCellAnchor editAs="oneCell">
    <xdr:from>
      <xdr:col>23</xdr:col>
      <xdr:colOff>150480</xdr:colOff>
      <xdr:row>27</xdr:row>
      <xdr:rowOff>0</xdr:rowOff>
    </xdr:from>
    <xdr:to>
      <xdr:col>28</xdr:col>
      <xdr:colOff>29879</xdr:colOff>
      <xdr:row>31</xdr:row>
      <xdr:rowOff>47825</xdr:rowOff>
    </xdr:to>
    <xdr:sp macro="" textlink="">
      <xdr:nvSpPr>
        <xdr:cNvPr id="9" name="CaixaDeTexto 136">
          <a:extLst>
            <a:ext uri="{FF2B5EF4-FFF2-40B4-BE49-F238E27FC236}">
              <a16:creationId xmlns:a16="http://schemas.microsoft.com/office/drawing/2014/main" id="{E43D2678-D0E6-4A7E-9C8D-32DD5D861449}"/>
            </a:ext>
          </a:extLst>
        </xdr:cNvPr>
        <xdr:cNvSpPr/>
      </xdr:nvSpPr>
      <xdr:spPr>
        <a:xfrm>
          <a:off x="16676355" y="5943600"/>
          <a:ext cx="2879774" cy="8384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pt-BR" sz="1100" b="1" strike="noStrike" spc="-1">
              <a:solidFill>
                <a:srgbClr val="000000"/>
              </a:solidFill>
              <a:latin typeface="Calibri"/>
            </a:rPr>
            <a:t>Arq. Urb. Fátima Isabel Rodrigues Souza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CAU A103849-4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000" b="0" strike="noStrike" spc="-1">
              <a:solidFill>
                <a:srgbClr val="000000"/>
              </a:solidFill>
              <a:latin typeface="Calibri"/>
            </a:rPr>
            <a:t>Gerência de Análise e Licenciamento de Edificações</a:t>
          </a:r>
          <a:endParaRPr lang="pt-BR" sz="1000" b="0" strike="noStrike" spc="-1">
            <a:latin typeface="Times New Roman"/>
          </a:endParaRPr>
        </a:p>
      </xdr:txBody>
    </xdr:sp>
    <xdr:clientData/>
  </xdr:twoCellAnchor>
  <xdr:twoCellAnchor editAs="oneCell">
    <xdr:from>
      <xdr:col>28</xdr:col>
      <xdr:colOff>213480</xdr:colOff>
      <xdr:row>27</xdr:row>
      <xdr:rowOff>0</xdr:rowOff>
    </xdr:from>
    <xdr:to>
      <xdr:col>33</xdr:col>
      <xdr:colOff>223201</xdr:colOff>
      <xdr:row>31</xdr:row>
      <xdr:rowOff>113535</xdr:rowOff>
    </xdr:to>
    <xdr:sp macro="" textlink="">
      <xdr:nvSpPr>
        <xdr:cNvPr id="10" name="CaixaDeTexto 133">
          <a:extLst>
            <a:ext uri="{FF2B5EF4-FFF2-40B4-BE49-F238E27FC236}">
              <a16:creationId xmlns:a16="http://schemas.microsoft.com/office/drawing/2014/main" id="{69F461A7-EA89-462E-B156-9B3DD9B664B9}"/>
            </a:ext>
          </a:extLst>
        </xdr:cNvPr>
        <xdr:cNvSpPr/>
      </xdr:nvSpPr>
      <xdr:spPr>
        <a:xfrm>
          <a:off x="19739730" y="5943600"/>
          <a:ext cx="3010096" cy="90411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pt-BR" sz="1100" b="1" strike="noStrike" spc="-1">
              <a:solidFill>
                <a:srgbClr val="000000"/>
              </a:solidFill>
              <a:latin typeface="Calibri"/>
            </a:rPr>
            <a:t>Arq. Urb. Guilherme Barbosa Ferreira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CAU A155835-8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000" b="0" strike="noStrike" spc="-1">
              <a:solidFill>
                <a:srgbClr val="000000"/>
              </a:solidFill>
              <a:latin typeface="Calibri"/>
            </a:rPr>
            <a:t>Diretoria de Análise e Aprovação de Projetos</a:t>
          </a:r>
          <a:endParaRPr lang="pt-BR" sz="1000" b="0" strike="noStrike" spc="-1">
            <a:latin typeface="Times New Roman"/>
          </a:endParaRPr>
        </a:p>
      </xdr:txBody>
    </xdr:sp>
    <xdr:clientData/>
  </xdr:twoCellAnchor>
  <xdr:twoCellAnchor editAs="oneCell">
    <xdr:from>
      <xdr:col>28</xdr:col>
      <xdr:colOff>270360</xdr:colOff>
      <xdr:row>27</xdr:row>
      <xdr:rowOff>0</xdr:rowOff>
    </xdr:from>
    <xdr:to>
      <xdr:col>33</xdr:col>
      <xdr:colOff>281881</xdr:colOff>
      <xdr:row>36</xdr:row>
      <xdr:rowOff>56327</xdr:rowOff>
    </xdr:to>
    <xdr:sp macro="" textlink="">
      <xdr:nvSpPr>
        <xdr:cNvPr id="11" name="CaixaDeTexto 133">
          <a:extLst>
            <a:ext uri="{FF2B5EF4-FFF2-40B4-BE49-F238E27FC236}">
              <a16:creationId xmlns:a16="http://schemas.microsoft.com/office/drawing/2014/main" id="{9956D8EF-898C-4671-8EC9-FF12DFB758AF}"/>
            </a:ext>
          </a:extLst>
        </xdr:cNvPr>
        <xdr:cNvSpPr/>
      </xdr:nvSpPr>
      <xdr:spPr>
        <a:xfrm>
          <a:off x="19796610" y="5943600"/>
          <a:ext cx="3011896" cy="1845785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pt-BR" sz="1100" b="1" strike="noStrike" spc="-1">
              <a:solidFill>
                <a:srgbClr val="000000"/>
              </a:solidFill>
              <a:latin typeface="Calibri"/>
            </a:rPr>
            <a:t>Arq. Urb. Glenne Batista Barbosa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CAU A33177-5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000" b="0" strike="noStrike" spc="-1">
              <a:solidFill>
                <a:srgbClr val="000000"/>
              </a:solidFill>
              <a:latin typeface="Calibri"/>
            </a:rPr>
            <a:t>Gerência de Análise e Licenciamento de Edificações</a:t>
          </a:r>
          <a:endParaRPr lang="pt-BR" sz="1000" b="0" strike="noStrike" spc="-1">
            <a:latin typeface="Times New Roman"/>
          </a:endParaRPr>
        </a:p>
      </xdr:txBody>
    </xdr:sp>
    <xdr:clientData/>
  </xdr:twoCellAnchor>
  <xdr:twoCellAnchor editAs="oneCell">
    <xdr:from>
      <xdr:col>28</xdr:col>
      <xdr:colOff>330840</xdr:colOff>
      <xdr:row>27</xdr:row>
      <xdr:rowOff>0</xdr:rowOff>
    </xdr:from>
    <xdr:to>
      <xdr:col>33</xdr:col>
      <xdr:colOff>331201</xdr:colOff>
      <xdr:row>31</xdr:row>
      <xdr:rowOff>13792</xdr:rowOff>
    </xdr:to>
    <xdr:sp macro="" textlink="">
      <xdr:nvSpPr>
        <xdr:cNvPr id="12" name="CaixaDeTexto 133">
          <a:extLst>
            <a:ext uri="{FF2B5EF4-FFF2-40B4-BE49-F238E27FC236}">
              <a16:creationId xmlns:a16="http://schemas.microsoft.com/office/drawing/2014/main" id="{B6F50B26-E883-460E-9A50-C41A9F76C73D}"/>
            </a:ext>
          </a:extLst>
        </xdr:cNvPr>
        <xdr:cNvSpPr/>
      </xdr:nvSpPr>
      <xdr:spPr>
        <a:xfrm>
          <a:off x="19857090" y="5943600"/>
          <a:ext cx="3000736" cy="804367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pt-BR" sz="1100" b="1" strike="noStrike" spc="-1">
              <a:solidFill>
                <a:srgbClr val="000000"/>
              </a:solidFill>
              <a:latin typeface="Calibri"/>
            </a:rPr>
            <a:t>Arq. Urb. Haline Moura Jordão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CAU A17609-5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000" b="0" strike="noStrike" spc="-1">
              <a:solidFill>
                <a:srgbClr val="000000"/>
              </a:solidFill>
              <a:latin typeface="Calibri"/>
            </a:rPr>
            <a:t>Gerência de Análise e Licenciamento de Edificações</a:t>
          </a:r>
          <a:endParaRPr lang="pt-BR" sz="1000" b="0" strike="noStrike" spc="-1">
            <a:latin typeface="Times New Roman"/>
          </a:endParaRPr>
        </a:p>
      </xdr:txBody>
    </xdr:sp>
    <xdr:clientData/>
  </xdr:twoCellAnchor>
  <xdr:twoCellAnchor editAs="oneCell">
    <xdr:from>
      <xdr:col>28</xdr:col>
      <xdr:colOff>493920</xdr:colOff>
      <xdr:row>27</xdr:row>
      <xdr:rowOff>0</xdr:rowOff>
    </xdr:from>
    <xdr:to>
      <xdr:col>33</xdr:col>
      <xdr:colOff>371881</xdr:colOff>
      <xdr:row>31</xdr:row>
      <xdr:rowOff>47825</xdr:rowOff>
    </xdr:to>
    <xdr:sp macro="" textlink="">
      <xdr:nvSpPr>
        <xdr:cNvPr id="13" name="CaixaDeTexto 134">
          <a:extLst>
            <a:ext uri="{FF2B5EF4-FFF2-40B4-BE49-F238E27FC236}">
              <a16:creationId xmlns:a16="http://schemas.microsoft.com/office/drawing/2014/main" id="{3E4C66BA-6278-429E-8478-782443826CB3}"/>
            </a:ext>
          </a:extLst>
        </xdr:cNvPr>
        <xdr:cNvSpPr/>
      </xdr:nvSpPr>
      <xdr:spPr>
        <a:xfrm>
          <a:off x="20020170" y="5943600"/>
          <a:ext cx="2878336" cy="8384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pt-BR" sz="1100" b="1" strike="noStrike" spc="-1">
              <a:solidFill>
                <a:srgbClr val="000000"/>
              </a:solidFill>
              <a:latin typeface="Calibri"/>
            </a:rPr>
            <a:t>Arq. Urb. Viviane Almeida Bastos 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CAU A 28350-9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000" b="0" strike="noStrike" spc="-1">
              <a:solidFill>
                <a:srgbClr val="000000"/>
              </a:solidFill>
              <a:latin typeface="Calibri"/>
            </a:rPr>
            <a:t>Gerência de Análise de Grande Porte e Impacto</a:t>
          </a:r>
          <a:endParaRPr lang="pt-BR" sz="1000" b="0" strike="noStrike" spc="-1">
            <a:latin typeface="Times New Roman"/>
          </a:endParaRPr>
        </a:p>
      </xdr:txBody>
    </xdr:sp>
    <xdr:clientData/>
  </xdr:twoCellAnchor>
  <xdr:twoCellAnchor editAs="oneCell">
    <xdr:from>
      <xdr:col>23</xdr:col>
      <xdr:colOff>101160</xdr:colOff>
      <xdr:row>27</xdr:row>
      <xdr:rowOff>0</xdr:rowOff>
    </xdr:from>
    <xdr:to>
      <xdr:col>28</xdr:col>
      <xdr:colOff>102599</xdr:colOff>
      <xdr:row>32</xdr:row>
      <xdr:rowOff>151640</xdr:rowOff>
    </xdr:to>
    <xdr:sp macro="" textlink="">
      <xdr:nvSpPr>
        <xdr:cNvPr id="14" name="CaixaDeTexto 5">
          <a:extLst>
            <a:ext uri="{FF2B5EF4-FFF2-40B4-BE49-F238E27FC236}">
              <a16:creationId xmlns:a16="http://schemas.microsoft.com/office/drawing/2014/main" id="{E37A3182-9231-4ED2-9EE7-ECBCF26BDAB9}"/>
            </a:ext>
          </a:extLst>
        </xdr:cNvPr>
        <xdr:cNvSpPr/>
      </xdr:nvSpPr>
      <xdr:spPr>
        <a:xfrm>
          <a:off x="16627035" y="5943600"/>
          <a:ext cx="3001814" cy="1142241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6800" rIns="90000" bIns="46800" anchor="t">
          <a:noAutofit/>
        </a:bodyPr>
        <a:lstStyle/>
        <a:p>
          <a:pPr algn="ctr"/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Arq. Urb.</a:t>
          </a:r>
          <a:r>
            <a:rPr lang="pt-BR" sz="1100" b="1" strike="noStrike" spc="-1">
              <a:solidFill>
                <a:srgbClr val="000000"/>
              </a:solidFill>
              <a:latin typeface="Calibri"/>
            </a:rPr>
            <a:t> Mirian Mendonça de Campos Curado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i="1" strike="noStrike" spc="-1">
              <a:solidFill>
                <a:srgbClr val="FF0000"/>
              </a:solidFill>
              <a:latin typeface="Calibri"/>
            </a:rPr>
            <a:t>***Analista em Obras e Ubanismo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CAU A31420-0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Gerência de Análise de Grande Porte e Impacto</a:t>
          </a:r>
          <a:endParaRPr lang="pt-BR" sz="1100" b="0" strike="noStrike" spc="-1">
            <a:latin typeface="Times New Roman"/>
          </a:endParaRPr>
        </a:p>
        <a:p>
          <a:pPr algn="ctr"/>
          <a:endParaRPr lang="pt-BR" sz="1100" b="0" strike="noStrike" spc="-1">
            <a:latin typeface="Times New Roman"/>
          </a:endParaRPr>
        </a:p>
      </xdr:txBody>
    </xdr:sp>
    <xdr:clientData/>
  </xdr:twoCellAnchor>
  <xdr:twoCellAnchor editAs="oneCell">
    <xdr:from>
      <xdr:col>1</xdr:col>
      <xdr:colOff>0</xdr:colOff>
      <xdr:row>26</xdr:row>
      <xdr:rowOff>231913</xdr:rowOff>
    </xdr:from>
    <xdr:to>
      <xdr:col>1</xdr:col>
      <xdr:colOff>0</xdr:colOff>
      <xdr:row>26</xdr:row>
      <xdr:rowOff>231913</xdr:rowOff>
    </xdr:to>
    <xdr:sp macro="" textlink="">
      <xdr:nvSpPr>
        <xdr:cNvPr id="15" name="Lista suspensa 316">
          <a:extLst>
            <a:ext uri="{FF2B5EF4-FFF2-40B4-BE49-F238E27FC236}">
              <a16:creationId xmlns:a16="http://schemas.microsoft.com/office/drawing/2014/main" id="{B970168F-2BA0-420C-81FF-887AC439EFF4}"/>
            </a:ext>
          </a:extLst>
        </xdr:cNvPr>
        <xdr:cNvSpPr/>
      </xdr:nvSpPr>
      <xdr:spPr>
        <a:xfrm>
          <a:off x="600075" y="594360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</xdr:col>
      <xdr:colOff>0</xdr:colOff>
      <xdr:row>26</xdr:row>
      <xdr:rowOff>231913</xdr:rowOff>
    </xdr:from>
    <xdr:to>
      <xdr:col>1</xdr:col>
      <xdr:colOff>0</xdr:colOff>
      <xdr:row>26</xdr:row>
      <xdr:rowOff>231913</xdr:rowOff>
    </xdr:to>
    <xdr:sp macro="" textlink="">
      <xdr:nvSpPr>
        <xdr:cNvPr id="16" name="Lista suspensa 441">
          <a:extLst>
            <a:ext uri="{FF2B5EF4-FFF2-40B4-BE49-F238E27FC236}">
              <a16:creationId xmlns:a16="http://schemas.microsoft.com/office/drawing/2014/main" id="{7C972AC2-19E0-4DDA-8368-2397A0E11A61}"/>
            </a:ext>
          </a:extLst>
        </xdr:cNvPr>
        <xdr:cNvSpPr/>
      </xdr:nvSpPr>
      <xdr:spPr>
        <a:xfrm>
          <a:off x="600075" y="594360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</xdr:col>
      <xdr:colOff>0</xdr:colOff>
      <xdr:row>26</xdr:row>
      <xdr:rowOff>231913</xdr:rowOff>
    </xdr:from>
    <xdr:to>
      <xdr:col>1</xdr:col>
      <xdr:colOff>0</xdr:colOff>
      <xdr:row>26</xdr:row>
      <xdr:rowOff>231913</xdr:rowOff>
    </xdr:to>
    <xdr:sp macro="" textlink="">
      <xdr:nvSpPr>
        <xdr:cNvPr id="17" name="Caixa de listagem 1">
          <a:extLst>
            <a:ext uri="{FF2B5EF4-FFF2-40B4-BE49-F238E27FC236}">
              <a16:creationId xmlns:a16="http://schemas.microsoft.com/office/drawing/2014/main" id="{8FBA7920-D8B3-4A4F-A1E9-740C16D115BD}"/>
            </a:ext>
          </a:extLst>
        </xdr:cNvPr>
        <xdr:cNvSpPr/>
      </xdr:nvSpPr>
      <xdr:spPr>
        <a:xfrm>
          <a:off x="600075" y="594360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</xdr:col>
      <xdr:colOff>0</xdr:colOff>
      <xdr:row>26</xdr:row>
      <xdr:rowOff>231913</xdr:rowOff>
    </xdr:from>
    <xdr:to>
      <xdr:col>1</xdr:col>
      <xdr:colOff>0</xdr:colOff>
      <xdr:row>26</xdr:row>
      <xdr:rowOff>231913</xdr:rowOff>
    </xdr:to>
    <xdr:sp macro="" textlink="">
      <xdr:nvSpPr>
        <xdr:cNvPr id="18" name="Lista suspensa 457">
          <a:extLst>
            <a:ext uri="{FF2B5EF4-FFF2-40B4-BE49-F238E27FC236}">
              <a16:creationId xmlns:a16="http://schemas.microsoft.com/office/drawing/2014/main" id="{1EAD9280-D101-4F0A-9F54-A8B9D2738BF3}"/>
            </a:ext>
          </a:extLst>
        </xdr:cNvPr>
        <xdr:cNvSpPr/>
      </xdr:nvSpPr>
      <xdr:spPr>
        <a:xfrm>
          <a:off x="600075" y="594360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</xdr:col>
      <xdr:colOff>0</xdr:colOff>
      <xdr:row>26</xdr:row>
      <xdr:rowOff>231913</xdr:rowOff>
    </xdr:from>
    <xdr:to>
      <xdr:col>1</xdr:col>
      <xdr:colOff>0</xdr:colOff>
      <xdr:row>26</xdr:row>
      <xdr:rowOff>231913</xdr:rowOff>
    </xdr:to>
    <xdr:sp macro="" textlink="">
      <xdr:nvSpPr>
        <xdr:cNvPr id="19" name="Lista suspensa 246">
          <a:extLst>
            <a:ext uri="{FF2B5EF4-FFF2-40B4-BE49-F238E27FC236}">
              <a16:creationId xmlns:a16="http://schemas.microsoft.com/office/drawing/2014/main" id="{E028EC11-EC48-493F-AEC0-94A05F0E82CC}"/>
            </a:ext>
          </a:extLst>
        </xdr:cNvPr>
        <xdr:cNvSpPr/>
      </xdr:nvSpPr>
      <xdr:spPr>
        <a:xfrm>
          <a:off x="600075" y="594360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28</xdr:col>
      <xdr:colOff>42120</xdr:colOff>
      <xdr:row>27</xdr:row>
      <xdr:rowOff>0</xdr:rowOff>
    </xdr:from>
    <xdr:to>
      <xdr:col>33</xdr:col>
      <xdr:colOff>51121</xdr:colOff>
      <xdr:row>31</xdr:row>
      <xdr:rowOff>117811</xdr:rowOff>
    </xdr:to>
    <xdr:sp macro="" textlink="">
      <xdr:nvSpPr>
        <xdr:cNvPr id="20" name="CaixaDeTexto 133">
          <a:extLst>
            <a:ext uri="{FF2B5EF4-FFF2-40B4-BE49-F238E27FC236}">
              <a16:creationId xmlns:a16="http://schemas.microsoft.com/office/drawing/2014/main" id="{4F5FCAD6-1AF0-418A-A7A4-7254D22E4D0B}"/>
            </a:ext>
          </a:extLst>
        </xdr:cNvPr>
        <xdr:cNvSpPr/>
      </xdr:nvSpPr>
      <xdr:spPr>
        <a:xfrm>
          <a:off x="19568370" y="5943600"/>
          <a:ext cx="3009376" cy="90838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pt-BR" sz="1100" b="1" strike="noStrike" spc="-1">
              <a:solidFill>
                <a:srgbClr val="000000"/>
              </a:solidFill>
              <a:latin typeface="Calibri"/>
            </a:rPr>
            <a:t>Eng. Civil. Guilherme Pereira dos reis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CREA nº26950-D/DF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000" b="0" strike="noStrike" spc="-1">
              <a:solidFill>
                <a:srgbClr val="000000"/>
              </a:solidFill>
              <a:latin typeface="Calibri"/>
            </a:rPr>
            <a:t>Diretoria de Análise e Aprovação de Projetos</a:t>
          </a:r>
          <a:endParaRPr lang="pt-BR" sz="10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123486</xdr:colOff>
      <xdr:row>9</xdr:row>
      <xdr:rowOff>80862</xdr:rowOff>
    </xdr:from>
    <xdr:to>
      <xdr:col>14</xdr:col>
      <xdr:colOff>416302</xdr:colOff>
      <xdr:row>11</xdr:row>
      <xdr:rowOff>59862</xdr:rowOff>
    </xdr:to>
    <xdr:sp macro="[0]!itensdodespacho" textlink="">
      <xdr:nvSpPr>
        <xdr:cNvPr id="21" name="Fluxograma: Processo Alternativo 20" descr="LIMPAR TUDO">
          <a:extLst>
            <a:ext uri="{FF2B5EF4-FFF2-40B4-BE49-F238E27FC236}">
              <a16:creationId xmlns:a16="http://schemas.microsoft.com/office/drawing/2014/main" id="{88E991F1-4800-4071-8E35-76A47E88757E}"/>
            </a:ext>
          </a:extLst>
        </xdr:cNvPr>
        <xdr:cNvSpPr/>
      </xdr:nvSpPr>
      <xdr:spPr>
        <a:xfrm>
          <a:off x="10391436" y="1985862"/>
          <a:ext cx="1150066" cy="36000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rtlCol="0" anchor="ctr">
          <a:noAutofit/>
        </a:bodyPr>
        <a:lstStyle/>
        <a:p>
          <a:pPr algn="ctr"/>
          <a:r>
            <a:rPr lang="pt-BR" sz="800"/>
            <a:t>PREENCH DOS</a:t>
          </a:r>
          <a:r>
            <a:rPr lang="pt-BR" sz="800" baseline="0"/>
            <a:t> </a:t>
          </a:r>
          <a:r>
            <a:rPr lang="pt-BR" sz="800" b="1" baseline="0">
              <a:solidFill>
                <a:schemeClr val="tx1"/>
              </a:solidFill>
            </a:rPr>
            <a:t>DESPACHOS</a:t>
          </a:r>
        </a:p>
      </xdr:txBody>
    </xdr:sp>
    <xdr:clientData/>
  </xdr:twoCellAnchor>
  <xdr:twoCellAnchor>
    <xdr:from>
      <xdr:col>13</xdr:col>
      <xdr:colOff>140804</xdr:colOff>
      <xdr:row>1</xdr:row>
      <xdr:rowOff>489300</xdr:rowOff>
    </xdr:from>
    <xdr:to>
      <xdr:col>14</xdr:col>
      <xdr:colOff>433620</xdr:colOff>
      <xdr:row>2</xdr:row>
      <xdr:rowOff>145278</xdr:rowOff>
    </xdr:to>
    <xdr:sp macro="[0]!indeferimento" textlink="">
      <xdr:nvSpPr>
        <xdr:cNvPr id="22" name="Fluxograma: Processo Alternativo 17" descr="LIMPAR TUDO">
          <a:extLst>
            <a:ext uri="{FF2B5EF4-FFF2-40B4-BE49-F238E27FC236}">
              <a16:creationId xmlns:a16="http://schemas.microsoft.com/office/drawing/2014/main" id="{20ED3B9E-E918-4369-9379-0835C83BADD6}"/>
            </a:ext>
          </a:extLst>
        </xdr:cNvPr>
        <xdr:cNvSpPr/>
      </xdr:nvSpPr>
      <xdr:spPr>
        <a:xfrm>
          <a:off x="10408754" y="489300"/>
          <a:ext cx="1150066" cy="227478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000"/>
            <a:t>INDEFERIMENTO</a:t>
          </a:r>
        </a:p>
      </xdr:txBody>
    </xdr:sp>
    <xdr:clientData/>
  </xdr:twoCellAnchor>
  <xdr:twoCellAnchor>
    <xdr:from>
      <xdr:col>13</xdr:col>
      <xdr:colOff>136348</xdr:colOff>
      <xdr:row>7</xdr:row>
      <xdr:rowOff>53994</xdr:rowOff>
    </xdr:from>
    <xdr:to>
      <xdr:col>14</xdr:col>
      <xdr:colOff>429164</xdr:colOff>
      <xdr:row>9</xdr:row>
      <xdr:rowOff>32994</xdr:rowOff>
    </xdr:to>
    <xdr:sp macro="[0]!arquivamento" textlink="">
      <xdr:nvSpPr>
        <xdr:cNvPr id="23" name="Fluxograma: Processo Alternativo 18" descr="LIMPAR TUDO">
          <a:extLst>
            <a:ext uri="{FF2B5EF4-FFF2-40B4-BE49-F238E27FC236}">
              <a16:creationId xmlns:a16="http://schemas.microsoft.com/office/drawing/2014/main" id="{263C771F-95F4-42F6-A3EC-CD001B9DB698}"/>
            </a:ext>
          </a:extLst>
        </xdr:cNvPr>
        <xdr:cNvSpPr/>
      </xdr:nvSpPr>
      <xdr:spPr>
        <a:xfrm>
          <a:off x="10404298" y="1577994"/>
          <a:ext cx="1150066" cy="36000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ARQUIVAMENTO</a:t>
          </a:r>
          <a:endParaRPr lang="pt-BR" sz="1000"/>
        </a:p>
      </xdr:txBody>
    </xdr:sp>
    <xdr:clientData/>
  </xdr:twoCellAnchor>
  <xdr:twoCellAnchor>
    <xdr:from>
      <xdr:col>13</xdr:col>
      <xdr:colOff>140804</xdr:colOff>
      <xdr:row>2</xdr:row>
      <xdr:rowOff>186357</xdr:rowOff>
    </xdr:from>
    <xdr:to>
      <xdr:col>14</xdr:col>
      <xdr:colOff>433620</xdr:colOff>
      <xdr:row>4</xdr:row>
      <xdr:rowOff>165357</xdr:rowOff>
    </xdr:to>
    <xdr:sp macro="[0]!vagas" textlink="">
      <xdr:nvSpPr>
        <xdr:cNvPr id="24" name="Fluxograma: Processo Alternativo 19" descr="LIMPAR TUDO">
          <a:extLst>
            <a:ext uri="{FF2B5EF4-FFF2-40B4-BE49-F238E27FC236}">
              <a16:creationId xmlns:a16="http://schemas.microsoft.com/office/drawing/2014/main" id="{2D056E19-E4A6-40A9-AE55-D92A1A8F8EE8}"/>
            </a:ext>
          </a:extLst>
        </xdr:cNvPr>
        <xdr:cNvSpPr/>
      </xdr:nvSpPr>
      <xdr:spPr>
        <a:xfrm>
          <a:off x="10408754" y="757857"/>
          <a:ext cx="1150066" cy="36000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VAGAS</a:t>
          </a:r>
          <a:endParaRPr lang="pt-BR" sz="1100"/>
        </a:p>
      </xdr:txBody>
    </xdr:sp>
    <xdr:clientData/>
  </xdr:twoCellAnchor>
  <xdr:twoCellAnchor>
    <xdr:from>
      <xdr:col>13</xdr:col>
      <xdr:colOff>140804</xdr:colOff>
      <xdr:row>5</xdr:row>
      <xdr:rowOff>17838</xdr:rowOff>
    </xdr:from>
    <xdr:to>
      <xdr:col>14</xdr:col>
      <xdr:colOff>433620</xdr:colOff>
      <xdr:row>6</xdr:row>
      <xdr:rowOff>187338</xdr:rowOff>
    </xdr:to>
    <xdr:sp macro="[0]!historico" textlink="">
      <xdr:nvSpPr>
        <xdr:cNvPr id="25" name="Fluxograma: Processo Alternativo 19" descr="LIMPAR TUDO">
          <a:extLst>
            <a:ext uri="{FF2B5EF4-FFF2-40B4-BE49-F238E27FC236}">
              <a16:creationId xmlns:a16="http://schemas.microsoft.com/office/drawing/2014/main" id="{F77E2E95-4D8B-4F3F-8F4E-DE895D659CFC}"/>
            </a:ext>
          </a:extLst>
        </xdr:cNvPr>
        <xdr:cNvSpPr/>
      </xdr:nvSpPr>
      <xdr:spPr>
        <a:xfrm>
          <a:off x="10408754" y="1160838"/>
          <a:ext cx="1150066" cy="36000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HISTÓRICO</a:t>
          </a:r>
          <a:endParaRPr lang="pt-BR" sz="1100"/>
        </a:p>
      </xdr:txBody>
    </xdr:sp>
    <xdr:clientData/>
  </xdr:twoCellAnchor>
  <xdr:twoCellAnchor>
    <xdr:from>
      <xdr:col>13</xdr:col>
      <xdr:colOff>133159</xdr:colOff>
      <xdr:row>11</xdr:row>
      <xdr:rowOff>106079</xdr:rowOff>
    </xdr:from>
    <xdr:to>
      <xdr:col>14</xdr:col>
      <xdr:colOff>425975</xdr:colOff>
      <xdr:row>13</xdr:row>
      <xdr:rowOff>2253</xdr:rowOff>
    </xdr:to>
    <xdr:sp macro="[0]!despachoregularização" textlink="">
      <xdr:nvSpPr>
        <xdr:cNvPr id="26" name="Fluxograma: Processo Alternativo 19" descr="LIMPAR TUDO">
          <a:extLst>
            <a:ext uri="{FF2B5EF4-FFF2-40B4-BE49-F238E27FC236}">
              <a16:creationId xmlns:a16="http://schemas.microsoft.com/office/drawing/2014/main" id="{14EA558B-B8D9-42FA-949A-FDE39B0C4202}"/>
            </a:ext>
          </a:extLst>
        </xdr:cNvPr>
        <xdr:cNvSpPr/>
      </xdr:nvSpPr>
      <xdr:spPr>
        <a:xfrm>
          <a:off x="10401109" y="2392079"/>
          <a:ext cx="1150066" cy="353374"/>
        </a:xfrm>
        <a:prstGeom prst="flowChartAlternateProcess">
          <a:avLst/>
        </a:prstGeom>
        <a:solidFill>
          <a:srgbClr val="BF3F9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rtlCol="0" anchor="ctr">
          <a:noAutofit/>
        </a:bodyPr>
        <a:lstStyle/>
        <a:p>
          <a:pPr algn="ctr"/>
          <a:r>
            <a:rPr lang="pt-BR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DESPACHO REGULARIZAÇÃO</a:t>
          </a:r>
          <a:endParaRPr lang="pt-BR" sz="1000"/>
        </a:p>
      </xdr:txBody>
    </xdr:sp>
    <xdr:clientData/>
  </xdr:twoCellAnchor>
  <xdr:oneCellAnchor>
    <xdr:from>
      <xdr:col>13</xdr:col>
      <xdr:colOff>140803</xdr:colOff>
      <xdr:row>1</xdr:row>
      <xdr:rowOff>86171</xdr:rowOff>
    </xdr:from>
    <xdr:ext cx="1154207" cy="361090"/>
    <xdr:sp macro="[0]!painel" textlink="">
      <xdr:nvSpPr>
        <xdr:cNvPr id="27" name="Fluxograma: Processo Alternativo 26" descr="LIMPAR TUDO">
          <a:extLst>
            <a:ext uri="{FF2B5EF4-FFF2-40B4-BE49-F238E27FC236}">
              <a16:creationId xmlns:a16="http://schemas.microsoft.com/office/drawing/2014/main" id="{E072B463-DE75-41FB-B809-36ADB0226027}"/>
            </a:ext>
          </a:extLst>
        </xdr:cNvPr>
        <xdr:cNvSpPr/>
      </xdr:nvSpPr>
      <xdr:spPr>
        <a:xfrm>
          <a:off x="10408753" y="86171"/>
          <a:ext cx="1154207" cy="36109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rtlCol="0" anchor="ctr">
          <a:noAutofit/>
        </a:bodyPr>
        <a:lstStyle/>
        <a:p>
          <a:pPr algn="ctr"/>
          <a:r>
            <a:rPr lang="pt-BR" sz="900"/>
            <a:t>PREENCHIMENTO</a:t>
          </a:r>
          <a:r>
            <a:rPr lang="pt-BR" sz="900" baseline="0"/>
            <a:t> DOS </a:t>
          </a:r>
          <a:r>
            <a:rPr lang="pt-BR" sz="900" b="1" baseline="0">
              <a:solidFill>
                <a:schemeClr val="tx1"/>
              </a:solidFill>
            </a:rPr>
            <a:t>LAUDOS</a:t>
          </a:r>
          <a:r>
            <a:rPr lang="pt-BR" sz="900" baseline="0"/>
            <a:t> DE AP</a:t>
          </a:r>
          <a:endParaRPr lang="pt-BR" sz="900"/>
        </a:p>
      </xdr:txBody>
    </xdr:sp>
    <xdr:clientData/>
  </xdr:oneCellAnchor>
  <xdr:twoCellAnchor>
    <xdr:from>
      <xdr:col>13</xdr:col>
      <xdr:colOff>133159</xdr:colOff>
      <xdr:row>13</xdr:row>
      <xdr:rowOff>56384</xdr:rowOff>
    </xdr:from>
    <xdr:to>
      <xdr:col>14</xdr:col>
      <xdr:colOff>425975</xdr:colOff>
      <xdr:row>14</xdr:row>
      <xdr:rowOff>184471</xdr:rowOff>
    </xdr:to>
    <xdr:sp macro="[0]!laudoderegularizacaoformatado" textlink="">
      <xdr:nvSpPr>
        <xdr:cNvPr id="28" name="Fluxograma: Processo Alternativo 19" descr="LIMPAR TUDO">
          <a:extLst>
            <a:ext uri="{FF2B5EF4-FFF2-40B4-BE49-F238E27FC236}">
              <a16:creationId xmlns:a16="http://schemas.microsoft.com/office/drawing/2014/main" id="{644E9543-A140-457E-BD70-5F078613779C}"/>
            </a:ext>
          </a:extLst>
        </xdr:cNvPr>
        <xdr:cNvSpPr/>
      </xdr:nvSpPr>
      <xdr:spPr>
        <a:xfrm>
          <a:off x="10401109" y="2799584"/>
          <a:ext cx="1150066" cy="356687"/>
        </a:xfrm>
        <a:prstGeom prst="flowChartAlternateProcess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rtlCol="0" anchor="ctr">
          <a:noAutofit/>
        </a:bodyPr>
        <a:lstStyle/>
        <a:p>
          <a:pPr algn="ctr"/>
          <a:r>
            <a:rPr lang="pt-BR" sz="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LAUDO DE REGULARIZAÇÃO FORMATADO</a:t>
          </a:r>
          <a:endParaRPr lang="pt-BR" sz="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423334</xdr:colOff>
      <xdr:row>72</xdr:row>
      <xdr:rowOff>127000</xdr:rowOff>
    </xdr:from>
    <xdr:ext cx="2168803" cy="1116056"/>
    <xdr:sp macro="" textlink="">
      <xdr:nvSpPr>
        <xdr:cNvPr id="2" name="CaixaDeTexto 133">
          <a:extLst>
            <a:ext uri="{FF2B5EF4-FFF2-40B4-BE49-F238E27FC236}">
              <a16:creationId xmlns:a16="http://schemas.microsoft.com/office/drawing/2014/main" id="{D9223694-EE6F-4B27-988B-3E2FC47C16F8}"/>
            </a:ext>
          </a:extLst>
        </xdr:cNvPr>
        <xdr:cNvSpPr/>
      </xdr:nvSpPr>
      <xdr:spPr>
        <a:xfrm>
          <a:off x="6424084" y="13843000"/>
          <a:ext cx="2168803" cy="111605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pt-BR" sz="1100" b="1" strike="noStrike" spc="-1">
              <a:solidFill>
                <a:srgbClr val="000000"/>
              </a:solidFill>
              <a:latin typeface="Calibri"/>
            </a:rPr>
            <a:t>Engº</a:t>
          </a:r>
          <a:r>
            <a:rPr lang="pt-BR" sz="1100" b="1" strike="noStrike" spc="-1" baseline="0">
              <a:solidFill>
                <a:srgbClr val="000000"/>
              </a:solidFill>
              <a:latin typeface="Calibri"/>
            </a:rPr>
            <a:t> Civil Fábio Parente M. S.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1" strike="noStrike" spc="-1">
              <a:solidFill>
                <a:srgbClr val="FF0000"/>
              </a:solidFill>
              <a:latin typeface="Calibri"/>
            </a:rPr>
            <a:t>***Analista em Obras e Urbanismo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100" b="0" strike="noStrike" spc="-1">
              <a:solidFill>
                <a:srgbClr val="000000"/>
              </a:solidFill>
              <a:latin typeface="Calibri"/>
            </a:rPr>
            <a:t>CREA 11716/D-GO</a:t>
          </a:r>
          <a:endParaRPr lang="pt-BR" sz="1100" b="0" strike="noStrike" spc="-1">
            <a:latin typeface="Times New Roman"/>
          </a:endParaRPr>
        </a:p>
        <a:p>
          <a:pPr algn="ctr"/>
          <a:r>
            <a:rPr lang="pt-BR" sz="1000" b="0" strike="noStrike" spc="-1">
              <a:solidFill>
                <a:srgbClr val="000000"/>
              </a:solidFill>
              <a:latin typeface="Calibri"/>
            </a:rPr>
            <a:t>Gerência de Análise e Licenciamento de Edificações</a:t>
          </a:r>
          <a:endParaRPr lang="pt-BR" sz="1000" b="0" strike="noStrike" spc="-1">
            <a:latin typeface="Times New Roman"/>
          </a:endParaRP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abio Parente Martins Santos" id="{D5424F81-D434-4F8E-8A0B-96607F5FAB0E}" userId="db8166f2abd5292a" providerId="Windows Live"/>
</personLis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6" dT="2025-09-01T18:00:34.11" personId="{D5424F81-D434-4F8E-8A0B-96607F5FAB0E}" id="{E7CC74E3-46E3-4ABB-A39A-836325D3AD16}">
    <text>Nº do despacho</text>
  </threadedComment>
  <threadedComment ref="D26" dT="2025-09-01T18:04:37.47" personId="{D5424F81-D434-4F8E-8A0B-96607F5FAB0E}" id="{C33F031D-080A-43A4-A5A8-E253D303A2B4}">
    <text>Declaração Energia 19/10/95</text>
  </threadedComment>
  <threadedComment ref="D27" dT="2025-09-01T18:04:56.97" personId="{D5424F81-D434-4F8E-8A0B-96607F5FAB0E}" id="{98F82B39-55B2-4EA7-ACA5-F8C775DBE9A3}">
    <text>Ortofoto/Energização/IPTU/Averbação em cartório</text>
  </threadedComment>
  <threadedComment ref="D31" dT="2025-09-01T18:07:31.68" personId="{D5424F81-D434-4F8E-8A0B-96607F5FAB0E}" id="{BC2A8444-71B3-461E-89FF-6875A53BB6BF}">
    <text>Nº da ART</text>
  </threadedComment>
  <threadedComment ref="D32" dT="2025-09-01T18:07:37.03" personId="{D5424F81-D434-4F8E-8A0B-96607F5FAB0E}" id="{FE781172-A39D-48B8-B458-323F24A6293B}">
    <text>Nº da ART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5" dT="2025-09-01T18:00:34.11" personId="{D5424F81-D434-4F8E-8A0B-96607F5FAB0E}" id="{92E3724E-DAE4-47FC-BD79-D1414360033A}">
    <text>Nº do despacho</text>
  </threadedComment>
  <threadedComment ref="D25" dT="2025-09-01T18:04:37.47" personId="{D5424F81-D434-4F8E-8A0B-96607F5FAB0E}" id="{61B8CA0B-6660-45E2-9881-1D384BD22C36}">
    <text>Declaração Energia 19/10/95</text>
  </threadedComment>
  <threadedComment ref="D26" dT="2025-09-01T18:04:56.97" personId="{D5424F81-D434-4F8E-8A0B-96607F5FAB0E}" id="{2B150D90-899C-4CD9-964E-8B47517C05B4}">
    <text>Ortofoto/Energização/IPTU/Averbação em cartório</text>
  </threadedComment>
  <threadedComment ref="D30" dT="2025-09-01T18:07:31.68" personId="{D5424F81-D434-4F8E-8A0B-96607F5FAB0E}" id="{2CFAFCFE-7DFB-4126-B310-65DD727ABD1C}">
    <text>Nº da ART</text>
  </threadedComment>
  <threadedComment ref="D31" dT="2025-09-01T18:07:37.03" personId="{D5424F81-D434-4F8E-8A0B-96607F5FAB0E}" id="{1F318827-B39B-49C3-AC73-83F11664CD2B}">
    <text>Nº da ART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12A75-A703-4A9E-8ED3-28DF547BD463}">
  <sheetPr codeName="Planilha5">
    <tabColor rgb="FF002060"/>
    <pageSetUpPr fitToPage="1"/>
  </sheetPr>
  <dimension ref="B1:L35"/>
  <sheetViews>
    <sheetView showGridLines="0" tabSelected="1" view="pageBreakPreview" zoomScale="85" zoomScaleNormal="100" zoomScaleSheetLayoutView="85" zoomScalePageLayoutView="80" workbookViewId="0">
      <selection activeCell="J13" sqref="J13:K30"/>
    </sheetView>
  </sheetViews>
  <sheetFormatPr baseColWidth="10" defaultColWidth="9" defaultRowHeight="15"/>
  <cols>
    <col min="1" max="1" width="9" style="1"/>
    <col min="2" max="3" width="13.5" style="1" customWidth="1"/>
    <col min="4" max="4" width="11.1640625" style="1" customWidth="1"/>
    <col min="5" max="5" width="14.5" style="1" customWidth="1"/>
    <col min="6" max="6" width="9.5" style="1" customWidth="1"/>
    <col min="7" max="7" width="9.83203125" style="1" customWidth="1"/>
    <col min="8" max="8" width="11.5" style="1" customWidth="1"/>
    <col min="9" max="9" width="13.5" style="1" customWidth="1"/>
    <col min="10" max="10" width="8.5" style="1" customWidth="1"/>
    <col min="11" max="11" width="19.33203125" style="1" customWidth="1"/>
    <col min="12" max="12" width="11.83203125" style="1" bestFit="1" customWidth="1"/>
    <col min="13" max="13" width="12" style="1" customWidth="1"/>
    <col min="14" max="14" width="12.83203125" style="1" customWidth="1"/>
    <col min="15" max="16384" width="9" style="1"/>
  </cols>
  <sheetData>
    <row r="1" spans="2:12" ht="43.5" customHeight="1">
      <c r="C1" s="12"/>
      <c r="D1" s="66" t="s">
        <v>132</v>
      </c>
      <c r="E1" s="66"/>
      <c r="F1" s="66"/>
      <c r="G1" s="66"/>
      <c r="H1" s="66"/>
      <c r="I1" s="66" t="s">
        <v>134</v>
      </c>
      <c r="J1" s="66"/>
    </row>
    <row r="2" spans="2:12" ht="45" customHeight="1">
      <c r="B2" s="74" t="s">
        <v>66</v>
      </c>
      <c r="C2" s="74"/>
      <c r="D2" s="74"/>
      <c r="E2" s="74"/>
      <c r="F2" s="74"/>
      <c r="G2" s="74"/>
      <c r="H2" s="74"/>
      <c r="I2" s="74"/>
      <c r="J2" s="74"/>
      <c r="K2" s="74"/>
      <c r="L2" s="74"/>
    </row>
    <row r="4" spans="2:12">
      <c r="B4" s="5" t="s">
        <v>9</v>
      </c>
      <c r="C4" s="75"/>
      <c r="D4" s="76"/>
      <c r="E4" s="76"/>
      <c r="F4" s="76"/>
      <c r="G4" s="76"/>
      <c r="H4" s="77"/>
      <c r="J4" s="63" t="s">
        <v>136</v>
      </c>
      <c r="K4" s="64"/>
      <c r="L4" s="18">
        <f>SUM(L5:L8)</f>
        <v>0</v>
      </c>
    </row>
    <row r="5" spans="2:12">
      <c r="B5" s="5" t="s">
        <v>10</v>
      </c>
      <c r="C5" s="70"/>
      <c r="D5" s="70"/>
      <c r="E5" s="70"/>
      <c r="F5" s="70"/>
      <c r="G5" s="70"/>
      <c r="H5" s="70"/>
      <c r="J5" s="63" t="s">
        <v>69</v>
      </c>
      <c r="K5" s="64"/>
      <c r="L5" s="13"/>
    </row>
    <row r="6" spans="2:12">
      <c r="B6" s="6" t="s">
        <v>8</v>
      </c>
      <c r="C6" s="70"/>
      <c r="D6" s="70"/>
      <c r="E6" s="70"/>
      <c r="F6" s="70"/>
      <c r="G6" s="70"/>
      <c r="H6" s="70"/>
      <c r="J6" s="63" t="s">
        <v>70</v>
      </c>
      <c r="K6" s="64"/>
      <c r="L6" s="13"/>
    </row>
    <row r="7" spans="2:12">
      <c r="B7" s="5" t="s">
        <v>11</v>
      </c>
      <c r="C7" s="70"/>
      <c r="D7" s="70"/>
      <c r="E7" s="70"/>
      <c r="F7" s="70"/>
      <c r="G7" s="70"/>
      <c r="H7" s="70"/>
      <c r="J7" s="63" t="s">
        <v>71</v>
      </c>
      <c r="K7" s="64"/>
      <c r="L7" s="13"/>
    </row>
    <row r="8" spans="2:12">
      <c r="B8" s="5" t="s">
        <v>12</v>
      </c>
      <c r="C8" s="70"/>
      <c r="D8" s="70"/>
      <c r="E8" s="70"/>
      <c r="F8" s="70"/>
      <c r="G8" s="70"/>
      <c r="H8" s="70"/>
      <c r="J8" s="63" t="s">
        <v>72</v>
      </c>
      <c r="K8" s="64"/>
      <c r="L8" s="13"/>
    </row>
    <row r="9" spans="2:12">
      <c r="B9" s="5" t="s">
        <v>6</v>
      </c>
      <c r="C9" s="70"/>
      <c r="D9" s="70"/>
      <c r="E9" s="70"/>
      <c r="F9" s="70"/>
      <c r="G9" s="70"/>
      <c r="H9" s="70"/>
      <c r="J9" s="63" t="s">
        <v>52</v>
      </c>
      <c r="K9" s="64"/>
      <c r="L9" s="13"/>
    </row>
    <row r="10" spans="2:12">
      <c r="B10" s="5" t="s">
        <v>56</v>
      </c>
      <c r="C10" s="70" t="s">
        <v>3</v>
      </c>
      <c r="D10" s="70"/>
      <c r="E10" s="70"/>
      <c r="F10" s="70"/>
      <c r="G10" s="70"/>
      <c r="H10" s="70"/>
      <c r="J10" s="63" t="s">
        <v>62</v>
      </c>
      <c r="K10" s="64"/>
      <c r="L10" s="16"/>
    </row>
    <row r="11" spans="2:12">
      <c r="B11" s="5" t="s">
        <v>57</v>
      </c>
      <c r="C11" s="70" t="s">
        <v>3</v>
      </c>
      <c r="D11" s="70"/>
      <c r="E11" s="70"/>
      <c r="F11" s="70"/>
      <c r="G11" s="70"/>
      <c r="H11" s="70"/>
      <c r="J11" s="63" t="s">
        <v>53</v>
      </c>
      <c r="K11" s="64"/>
      <c r="L11" s="13"/>
    </row>
    <row r="12" spans="2:12" ht="18" customHeight="1">
      <c r="B12" s="71" t="s">
        <v>30</v>
      </c>
      <c r="C12" s="71"/>
      <c r="D12" s="1" t="s">
        <v>21</v>
      </c>
      <c r="F12" s="71" t="s">
        <v>30</v>
      </c>
      <c r="G12" s="71"/>
      <c r="H12" s="1" t="s">
        <v>31</v>
      </c>
      <c r="J12" s="71" t="s">
        <v>30</v>
      </c>
      <c r="K12" s="71"/>
      <c r="L12" s="1" t="s">
        <v>31</v>
      </c>
    </row>
    <row r="13" spans="2:12" ht="18" customHeight="1">
      <c r="B13" s="69" t="s">
        <v>16</v>
      </c>
      <c r="C13" s="69"/>
      <c r="D13" s="14"/>
      <c r="F13" s="62" t="s">
        <v>55</v>
      </c>
      <c r="G13" s="62"/>
      <c r="H13" s="14"/>
      <c r="J13" s="62" t="s">
        <v>54</v>
      </c>
      <c r="K13" s="62"/>
      <c r="L13" s="14"/>
    </row>
    <row r="14" spans="2:12" ht="18" customHeight="1">
      <c r="B14" s="69" t="s">
        <v>17</v>
      </c>
      <c r="C14" s="69"/>
      <c r="D14" s="14"/>
      <c r="F14" s="72" t="s">
        <v>58</v>
      </c>
      <c r="G14" s="73"/>
      <c r="H14" s="18" t="str">
        <f>C10</f>
        <v>NP</v>
      </c>
      <c r="J14" s="4" t="s">
        <v>38</v>
      </c>
      <c r="K14" s="4"/>
      <c r="L14" s="18" t="str">
        <f>IF((L5+L6)=0,"NÃO","SIM")</f>
        <v>NÃO</v>
      </c>
    </row>
    <row r="15" spans="2:12" ht="18" customHeight="1">
      <c r="B15" s="69" t="s">
        <v>18</v>
      </c>
      <c r="C15" s="69"/>
      <c r="D15" s="14"/>
      <c r="F15" s="72" t="s">
        <v>59</v>
      </c>
      <c r="G15" s="73"/>
      <c r="H15" s="18" t="str">
        <f>C11</f>
        <v>NP</v>
      </c>
      <c r="J15" s="4" t="s">
        <v>42</v>
      </c>
      <c r="K15" s="4"/>
      <c r="L15" s="18" t="str">
        <f>IF((L5+L7)=0,"NÃO","SIM")</f>
        <v>NÃO</v>
      </c>
    </row>
    <row r="16" spans="2:12" ht="18" customHeight="1">
      <c r="B16" s="69" t="s">
        <v>7</v>
      </c>
      <c r="C16" s="69"/>
      <c r="D16" s="14"/>
      <c r="F16" s="4" t="s">
        <v>39</v>
      </c>
      <c r="G16" s="4"/>
      <c r="H16" s="14"/>
      <c r="J16" s="4" t="s">
        <v>43</v>
      </c>
      <c r="K16" s="4"/>
      <c r="L16" s="14"/>
    </row>
    <row r="17" spans="2:12" ht="18" customHeight="1">
      <c r="B17" s="69" t="s">
        <v>19</v>
      </c>
      <c r="C17" s="69"/>
      <c r="D17" s="14"/>
      <c r="F17" s="4" t="s">
        <v>40</v>
      </c>
      <c r="G17" s="4"/>
      <c r="H17" s="14"/>
      <c r="J17" s="4" t="s">
        <v>44</v>
      </c>
      <c r="K17" s="4"/>
      <c r="L17" s="14"/>
    </row>
    <row r="18" spans="2:12" ht="18" customHeight="1">
      <c r="B18" s="69" t="s">
        <v>20</v>
      </c>
      <c r="C18" s="69"/>
      <c r="D18" s="14"/>
      <c r="F18" s="4" t="s">
        <v>41</v>
      </c>
      <c r="G18" s="4"/>
      <c r="H18" s="14"/>
      <c r="J18" s="4" t="s">
        <v>45</v>
      </c>
      <c r="K18" s="4"/>
      <c r="L18" s="14"/>
    </row>
    <row r="19" spans="2:12" ht="18" customHeight="1">
      <c r="B19" s="69" t="s">
        <v>22</v>
      </c>
      <c r="C19" s="69"/>
      <c r="D19" s="14"/>
      <c r="F19" s="4" t="s">
        <v>133</v>
      </c>
      <c r="G19" s="4"/>
      <c r="H19" s="14"/>
      <c r="J19" s="4" t="s">
        <v>46</v>
      </c>
      <c r="K19" s="4"/>
      <c r="L19" s="14"/>
    </row>
    <row r="20" spans="2:12" ht="18" customHeight="1">
      <c r="B20" s="69" t="s">
        <v>23</v>
      </c>
      <c r="C20" s="69"/>
      <c r="D20" s="14"/>
      <c r="F20" s="4" t="s">
        <v>32</v>
      </c>
      <c r="G20" s="4"/>
      <c r="H20" s="18">
        <f>L9-H19</f>
        <v>0</v>
      </c>
      <c r="J20" s="4" t="s">
        <v>47</v>
      </c>
      <c r="K20" s="4"/>
      <c r="L20" s="14"/>
    </row>
    <row r="21" spans="2:12" ht="18" customHeight="1">
      <c r="B21" s="69" t="s">
        <v>24</v>
      </c>
      <c r="C21" s="69"/>
      <c r="D21" s="14"/>
      <c r="F21" s="4" t="s">
        <v>33</v>
      </c>
      <c r="G21" s="4"/>
      <c r="H21" s="21">
        <f>H20/200</f>
        <v>0</v>
      </c>
      <c r="J21" s="4" t="s">
        <v>50</v>
      </c>
      <c r="K21" s="4"/>
      <c r="L21" s="14"/>
    </row>
    <row r="22" spans="2:12" ht="18" customHeight="1">
      <c r="B22" s="69" t="s">
        <v>25</v>
      </c>
      <c r="C22" s="69"/>
      <c r="D22" s="14"/>
      <c r="F22" s="4" t="s">
        <v>34</v>
      </c>
      <c r="G22" s="4"/>
      <c r="H22" s="14"/>
      <c r="J22" s="4" t="s">
        <v>49</v>
      </c>
      <c r="K22" s="4"/>
      <c r="L22" s="14"/>
    </row>
    <row r="23" spans="2:12" ht="18" customHeight="1">
      <c r="B23" s="69" t="s">
        <v>26</v>
      </c>
      <c r="C23" s="69"/>
      <c r="D23" s="14"/>
      <c r="F23" s="4" t="s">
        <v>135</v>
      </c>
      <c r="G23" s="4"/>
      <c r="H23" s="14"/>
      <c r="J23" s="4" t="s">
        <v>48</v>
      </c>
      <c r="K23" s="4"/>
      <c r="L23" s="14"/>
    </row>
    <row r="24" spans="2:12" ht="18" customHeight="1">
      <c r="B24" s="67" t="s">
        <v>27</v>
      </c>
      <c r="C24" s="68"/>
      <c r="D24" s="14"/>
      <c r="F24" s="4" t="s">
        <v>36</v>
      </c>
      <c r="G24" s="4"/>
      <c r="H24" s="14"/>
      <c r="J24" s="63" t="s">
        <v>51</v>
      </c>
      <c r="K24" s="64"/>
      <c r="L24" s="14"/>
    </row>
    <row r="25" spans="2:12" ht="18" customHeight="1">
      <c r="B25" s="69" t="s">
        <v>28</v>
      </c>
      <c r="C25" s="69"/>
      <c r="D25" s="14"/>
      <c r="F25" s="4" t="s">
        <v>37</v>
      </c>
      <c r="G25" s="4"/>
      <c r="H25" s="14"/>
      <c r="J25" s="69" t="s">
        <v>29</v>
      </c>
      <c r="K25" s="69"/>
      <c r="L25" s="14"/>
    </row>
    <row r="26" spans="2:12" ht="18" customHeight="1">
      <c r="B26" s="67" t="s">
        <v>137</v>
      </c>
      <c r="C26" s="68"/>
      <c r="D26" s="14" t="s">
        <v>138</v>
      </c>
      <c r="F26" s="63" t="s">
        <v>63</v>
      </c>
      <c r="G26" s="64"/>
      <c r="H26" s="14"/>
      <c r="J26" s="63" t="s">
        <v>60</v>
      </c>
      <c r="K26" s="64"/>
      <c r="L26" s="18" t="str">
        <f>IF((L5+L6)=0,"NÃO","SIM")</f>
        <v>NÃO</v>
      </c>
    </row>
    <row r="27" spans="2:12" ht="18" customHeight="1">
      <c r="B27" s="63" t="s">
        <v>83</v>
      </c>
      <c r="C27" s="64"/>
      <c r="D27" s="14"/>
      <c r="F27" s="63" t="s">
        <v>64</v>
      </c>
      <c r="G27" s="64"/>
      <c r="H27" s="20" t="str">
        <f>IF(D27="NP","NP","INSERIR MANUALMENTE")</f>
        <v>INSERIR MANUALMENTE</v>
      </c>
      <c r="J27" s="62" t="s">
        <v>61</v>
      </c>
      <c r="K27" s="62"/>
      <c r="L27" s="18" t="str">
        <f>IF((L5+L7)=0,"NÃO","SIM")</f>
        <v>NÃO</v>
      </c>
    </row>
    <row r="28" spans="2:12">
      <c r="B28" s="63" t="s">
        <v>65</v>
      </c>
      <c r="C28" s="64"/>
      <c r="D28" s="14"/>
      <c r="F28" s="63" t="s">
        <v>67</v>
      </c>
      <c r="G28" s="64"/>
      <c r="H28" s="15"/>
      <c r="J28" s="62" t="s">
        <v>128</v>
      </c>
      <c r="K28" s="62"/>
      <c r="L28" s="7"/>
    </row>
    <row r="29" spans="2:12" ht="15.75" customHeight="1">
      <c r="B29" s="63" t="s">
        <v>35</v>
      </c>
      <c r="C29" s="64"/>
      <c r="D29" s="18">
        <f>L9</f>
        <v>0</v>
      </c>
      <c r="F29" s="62" t="s">
        <v>127</v>
      </c>
      <c r="G29" s="62"/>
      <c r="H29" s="19" t="str">
        <f>IF(L4=L9,"SIM","NÃO")</f>
        <v>SIM</v>
      </c>
      <c r="I29" s="3"/>
      <c r="J29" s="65" t="s">
        <v>129</v>
      </c>
      <c r="K29" s="65"/>
      <c r="L29" s="7"/>
    </row>
    <row r="30" spans="2:12" ht="15.75" customHeight="1">
      <c r="B30" s="63" t="s">
        <v>130</v>
      </c>
      <c r="C30" s="64"/>
      <c r="D30" s="7"/>
      <c r="F30" s="2"/>
      <c r="G30" s="2"/>
      <c r="H30" s="2"/>
      <c r="I30" s="3"/>
      <c r="J30" s="62" t="s">
        <v>131</v>
      </c>
      <c r="K30" s="62"/>
      <c r="L30" s="17" t="s">
        <v>68</v>
      </c>
    </row>
    <row r="31" spans="2:12" ht="16">
      <c r="B31" s="61" t="s">
        <v>139</v>
      </c>
      <c r="C31" s="61"/>
      <c r="D31" s="14"/>
      <c r="F31" s="2"/>
      <c r="G31" s="2"/>
      <c r="H31" s="2"/>
      <c r="I31" s="3"/>
    </row>
    <row r="32" spans="2:12" ht="15.75" customHeight="1">
      <c r="B32" s="61" t="s">
        <v>140</v>
      </c>
      <c r="C32" s="61"/>
      <c r="D32" s="14"/>
      <c r="F32" s="2"/>
      <c r="G32" s="2"/>
      <c r="H32" s="2"/>
      <c r="I32" s="3"/>
    </row>
    <row r="33" spans="6:9" ht="15.75" customHeight="1">
      <c r="F33" s="2"/>
      <c r="G33" s="2"/>
      <c r="H33" s="2"/>
      <c r="I33" s="3"/>
    </row>
    <row r="34" spans="6:9" ht="16.5" customHeight="1">
      <c r="F34" s="2"/>
      <c r="G34" s="2"/>
      <c r="H34" s="2"/>
      <c r="I34" s="3"/>
    </row>
    <row r="35" spans="6:9" ht="16">
      <c r="F35" s="2"/>
      <c r="G35" s="2"/>
      <c r="H35" s="2"/>
    </row>
  </sheetData>
  <mergeCells count="57">
    <mergeCell ref="C6:H6"/>
    <mergeCell ref="J8:K8"/>
    <mergeCell ref="B2:L2"/>
    <mergeCell ref="C4:H4"/>
    <mergeCell ref="J4:K4"/>
    <mergeCell ref="C5:H5"/>
    <mergeCell ref="J7:K7"/>
    <mergeCell ref="J5:K5"/>
    <mergeCell ref="J6:K6"/>
    <mergeCell ref="J12:K12"/>
    <mergeCell ref="B13:C13"/>
    <mergeCell ref="F13:G13"/>
    <mergeCell ref="J13:K13"/>
    <mergeCell ref="C7:H7"/>
    <mergeCell ref="J9:K9"/>
    <mergeCell ref="C8:H8"/>
    <mergeCell ref="J10:K10"/>
    <mergeCell ref="C9:H9"/>
    <mergeCell ref="J11:K11"/>
    <mergeCell ref="B17:C17"/>
    <mergeCell ref="C10:H10"/>
    <mergeCell ref="C11:H11"/>
    <mergeCell ref="B12:C12"/>
    <mergeCell ref="F12:G12"/>
    <mergeCell ref="B14:C14"/>
    <mergeCell ref="F14:G14"/>
    <mergeCell ref="B15:C15"/>
    <mergeCell ref="F15:G15"/>
    <mergeCell ref="B16:C16"/>
    <mergeCell ref="B24:C24"/>
    <mergeCell ref="J24:K24"/>
    <mergeCell ref="B25:C25"/>
    <mergeCell ref="F26:G26"/>
    <mergeCell ref="J25:K25"/>
    <mergeCell ref="I1:J1"/>
    <mergeCell ref="D1:H1"/>
    <mergeCell ref="B27:C27"/>
    <mergeCell ref="F28:G28"/>
    <mergeCell ref="J27:K27"/>
    <mergeCell ref="B28:C28"/>
    <mergeCell ref="J28:K28"/>
    <mergeCell ref="B26:C26"/>
    <mergeCell ref="F27:G27"/>
    <mergeCell ref="J26:K26"/>
    <mergeCell ref="B18:C18"/>
    <mergeCell ref="B19:C19"/>
    <mergeCell ref="B20:C20"/>
    <mergeCell ref="B21:C21"/>
    <mergeCell ref="B22:C22"/>
    <mergeCell ref="B23:C23"/>
    <mergeCell ref="B31:C31"/>
    <mergeCell ref="B32:C32"/>
    <mergeCell ref="J30:K30"/>
    <mergeCell ref="F29:G29"/>
    <mergeCell ref="B30:C30"/>
    <mergeCell ref="B29:C29"/>
    <mergeCell ref="J29:K29"/>
  </mergeCells>
  <printOptions horizontalCentered="1"/>
  <pageMargins left="0.23611111111111099" right="0.23611111111111099" top="0.196527777777778" bottom="0.31527777777777799" header="0.511811023622047" footer="0.31527777777777799"/>
  <pageSetup paperSize="9" scale="54" orientation="portrait" horizontalDpi="300" verticalDpi="300" r:id="rId1"/>
  <headerFooter>
    <oddFooter>&amp;CPágina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A2057-CA34-48DB-9653-7274FF9E1410}">
  <sheetPr codeName="Planilha18">
    <tabColor theme="4" tint="-0.249977111117893"/>
    <pageSetUpPr fitToPage="1"/>
  </sheetPr>
  <dimension ref="A1:W89"/>
  <sheetViews>
    <sheetView showGridLines="0" view="pageBreakPreview" topLeftCell="B1" zoomScale="90" zoomScaleNormal="100" zoomScalePageLayoutView="90" workbookViewId="0">
      <selection activeCell="F57" sqref="F57:G57"/>
    </sheetView>
  </sheetViews>
  <sheetFormatPr baseColWidth="10" defaultColWidth="9" defaultRowHeight="15"/>
  <cols>
    <col min="1" max="1" width="6.5" style="22" hidden="1" customWidth="1"/>
    <col min="2" max="3" width="13.6640625" style="22" customWidth="1"/>
    <col min="4" max="4" width="11.33203125" style="22" customWidth="1"/>
    <col min="5" max="5" width="14.6640625" style="22" customWidth="1"/>
    <col min="6" max="6" width="9.5" style="22" customWidth="1"/>
    <col min="7" max="7" width="10" style="22" customWidth="1"/>
    <col min="8" max="8" width="11.6640625" style="22" customWidth="1"/>
    <col min="9" max="9" width="10.6640625" style="22" customWidth="1"/>
    <col min="10" max="11" width="11.6640625" style="22" customWidth="1"/>
    <col min="12" max="12" width="9.6640625" style="22" customWidth="1"/>
    <col min="13" max="13" width="14" style="22" customWidth="1"/>
    <col min="14" max="14" width="13" style="22" customWidth="1"/>
    <col min="15" max="16384" width="9" style="22"/>
  </cols>
  <sheetData>
    <row r="1" spans="2:12" ht="62">
      <c r="B1" s="74" t="s">
        <v>66</v>
      </c>
      <c r="C1" s="74"/>
      <c r="D1" s="74"/>
      <c r="E1" s="74"/>
      <c r="F1" s="74"/>
      <c r="G1" s="74"/>
      <c r="H1" s="74"/>
      <c r="I1" s="74"/>
      <c r="J1" s="74"/>
      <c r="K1" s="74"/>
      <c r="L1" s="74"/>
    </row>
    <row r="2" spans="2:12"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2:12">
      <c r="B3" s="57" t="s">
        <v>9</v>
      </c>
      <c r="C3" s="75">
        <f>'Painel do Aceite'!C4</f>
        <v>0</v>
      </c>
      <c r="D3" s="76"/>
      <c r="E3" s="76"/>
      <c r="F3" s="76"/>
      <c r="G3" s="76"/>
      <c r="H3" s="77"/>
      <c r="I3" s="1"/>
      <c r="J3" s="75" t="s">
        <v>136</v>
      </c>
      <c r="K3" s="77"/>
      <c r="L3" s="58">
        <f>'Painel do Aceite'!L4</f>
        <v>0</v>
      </c>
    </row>
    <row r="4" spans="2:12">
      <c r="B4" s="57" t="s">
        <v>10</v>
      </c>
      <c r="C4" s="75">
        <f>'Painel do Aceite'!C5</f>
        <v>0</v>
      </c>
      <c r="D4" s="76"/>
      <c r="E4" s="76"/>
      <c r="F4" s="76"/>
      <c r="G4" s="76"/>
      <c r="H4" s="77"/>
      <c r="I4" s="1"/>
      <c r="J4" s="75" t="s">
        <v>69</v>
      </c>
      <c r="K4" s="77"/>
      <c r="L4" s="58">
        <f>'Painel do Aceite'!L5</f>
        <v>0</v>
      </c>
    </row>
    <row r="5" spans="2:12">
      <c r="B5" s="6" t="s">
        <v>8</v>
      </c>
      <c r="C5" s="75">
        <f>'Painel do Aceite'!C6</f>
        <v>0</v>
      </c>
      <c r="D5" s="76"/>
      <c r="E5" s="76"/>
      <c r="F5" s="76"/>
      <c r="G5" s="76"/>
      <c r="H5" s="77"/>
      <c r="I5" s="1"/>
      <c r="J5" s="75" t="s">
        <v>70</v>
      </c>
      <c r="K5" s="77"/>
      <c r="L5" s="58">
        <f>'Painel do Aceite'!L6</f>
        <v>0</v>
      </c>
    </row>
    <row r="6" spans="2:12">
      <c r="B6" s="57" t="s">
        <v>11</v>
      </c>
      <c r="C6" s="75">
        <f>'Painel do Aceite'!C7</f>
        <v>0</v>
      </c>
      <c r="D6" s="76"/>
      <c r="E6" s="76"/>
      <c r="F6" s="76"/>
      <c r="G6" s="76"/>
      <c r="H6" s="77"/>
      <c r="I6" s="1"/>
      <c r="J6" s="75" t="s">
        <v>71</v>
      </c>
      <c r="K6" s="77"/>
      <c r="L6" s="58">
        <f>'Painel do Aceite'!L7</f>
        <v>0</v>
      </c>
    </row>
    <row r="7" spans="2:12">
      <c r="B7" s="57" t="s">
        <v>12</v>
      </c>
      <c r="C7" s="75">
        <f>'Painel do Aceite'!C8</f>
        <v>0</v>
      </c>
      <c r="D7" s="76"/>
      <c r="E7" s="76"/>
      <c r="F7" s="76"/>
      <c r="G7" s="76"/>
      <c r="H7" s="77"/>
      <c r="I7" s="1"/>
      <c r="J7" s="75" t="s">
        <v>72</v>
      </c>
      <c r="K7" s="77"/>
      <c r="L7" s="58">
        <f>'Painel do Aceite'!L8</f>
        <v>0</v>
      </c>
    </row>
    <row r="8" spans="2:12">
      <c r="B8" s="57" t="s">
        <v>6</v>
      </c>
      <c r="C8" s="75">
        <f>'Painel do Aceite'!C9</f>
        <v>0</v>
      </c>
      <c r="D8" s="76"/>
      <c r="E8" s="76"/>
      <c r="F8" s="76"/>
      <c r="G8" s="76"/>
      <c r="H8" s="77"/>
      <c r="I8" s="1"/>
      <c r="J8" s="75" t="s">
        <v>52</v>
      </c>
      <c r="K8" s="77"/>
      <c r="L8" s="58">
        <f>'Painel do Aceite'!L9</f>
        <v>0</v>
      </c>
    </row>
    <row r="9" spans="2:12">
      <c r="B9" s="57" t="s">
        <v>56</v>
      </c>
      <c r="C9" s="75" t="str">
        <f>'Painel do Aceite'!C10</f>
        <v>NP</v>
      </c>
      <c r="D9" s="76"/>
      <c r="E9" s="76"/>
      <c r="F9" s="76"/>
      <c r="G9" s="76"/>
      <c r="H9" s="77"/>
      <c r="I9" s="1"/>
      <c r="J9" s="75" t="s">
        <v>62</v>
      </c>
      <c r="K9" s="77"/>
      <c r="L9" s="58">
        <f>'Painel do Aceite'!L10</f>
        <v>0</v>
      </c>
    </row>
    <row r="10" spans="2:12">
      <c r="B10" s="57" t="s">
        <v>57</v>
      </c>
      <c r="C10" s="75" t="str">
        <f>'Painel do Aceite'!C11</f>
        <v>NP</v>
      </c>
      <c r="D10" s="76"/>
      <c r="E10" s="76"/>
      <c r="F10" s="76"/>
      <c r="G10" s="76"/>
      <c r="H10" s="77"/>
      <c r="I10" s="1"/>
      <c r="J10" s="75" t="s">
        <v>53</v>
      </c>
      <c r="K10" s="77"/>
      <c r="L10" s="58">
        <f>'Painel do Aceite'!L11</f>
        <v>0</v>
      </c>
    </row>
    <row r="11" spans="2:12">
      <c r="B11" s="71" t="s">
        <v>30</v>
      </c>
      <c r="C11" s="71"/>
      <c r="D11" s="1" t="s">
        <v>21</v>
      </c>
      <c r="E11" s="1"/>
      <c r="F11" s="71" t="s">
        <v>30</v>
      </c>
      <c r="G11" s="71"/>
      <c r="H11" s="1" t="s">
        <v>31</v>
      </c>
      <c r="I11" s="1"/>
      <c r="J11" s="71" t="s">
        <v>30</v>
      </c>
      <c r="K11" s="71"/>
      <c r="L11" s="1" t="s">
        <v>31</v>
      </c>
    </row>
    <row r="12" spans="2:12">
      <c r="B12" s="69" t="s">
        <v>16</v>
      </c>
      <c r="C12" s="69"/>
      <c r="D12" s="59">
        <f>'Painel do Aceite'!D13</f>
        <v>0</v>
      </c>
      <c r="E12" s="1"/>
      <c r="F12" s="62" t="s">
        <v>55</v>
      </c>
      <c r="G12" s="62"/>
      <c r="H12" s="60">
        <f>'Painel do Aceite'!H13</f>
        <v>0</v>
      </c>
      <c r="I12" s="1"/>
      <c r="J12" s="62" t="s">
        <v>54</v>
      </c>
      <c r="K12" s="62"/>
      <c r="L12" s="60">
        <f>'Painel do Aceite'!L13</f>
        <v>0</v>
      </c>
    </row>
    <row r="13" spans="2:12">
      <c r="B13" s="69" t="s">
        <v>17</v>
      </c>
      <c r="C13" s="69"/>
      <c r="D13" s="59">
        <f>'Painel do Aceite'!D14</f>
        <v>0</v>
      </c>
      <c r="E13" s="1"/>
      <c r="F13" s="72" t="s">
        <v>58</v>
      </c>
      <c r="G13" s="73"/>
      <c r="H13" s="60" t="str">
        <f>'Painel do Aceite'!H14</f>
        <v>NP</v>
      </c>
      <c r="I13" s="1"/>
      <c r="J13" s="4" t="s">
        <v>38</v>
      </c>
      <c r="K13" s="4"/>
      <c r="L13" s="60" t="str">
        <f>'Painel do Aceite'!L14</f>
        <v>NÃO</v>
      </c>
    </row>
    <row r="14" spans="2:12">
      <c r="B14" s="69" t="s">
        <v>18</v>
      </c>
      <c r="C14" s="69"/>
      <c r="D14" s="59">
        <f>'Painel do Aceite'!D15</f>
        <v>0</v>
      </c>
      <c r="E14" s="1"/>
      <c r="F14" s="72" t="s">
        <v>59</v>
      </c>
      <c r="G14" s="73"/>
      <c r="H14" s="60" t="str">
        <f>'Painel do Aceite'!H15</f>
        <v>NP</v>
      </c>
      <c r="I14" s="1"/>
      <c r="J14" s="4" t="s">
        <v>42</v>
      </c>
      <c r="K14" s="4"/>
      <c r="L14" s="60" t="str">
        <f>'Painel do Aceite'!L15</f>
        <v>NÃO</v>
      </c>
    </row>
    <row r="15" spans="2:12">
      <c r="B15" s="69" t="s">
        <v>7</v>
      </c>
      <c r="C15" s="69"/>
      <c r="D15" s="59">
        <f>'Painel do Aceite'!D16</f>
        <v>0</v>
      </c>
      <c r="E15" s="1"/>
      <c r="F15" s="4" t="s">
        <v>39</v>
      </c>
      <c r="G15" s="4"/>
      <c r="H15" s="60">
        <f>'Painel do Aceite'!H16</f>
        <v>0</v>
      </c>
      <c r="I15" s="1"/>
      <c r="J15" s="4" t="s">
        <v>43</v>
      </c>
      <c r="K15" s="4"/>
      <c r="L15" s="60">
        <f>'Painel do Aceite'!L16</f>
        <v>0</v>
      </c>
    </row>
    <row r="16" spans="2:12">
      <c r="B16" s="69" t="s">
        <v>19</v>
      </c>
      <c r="C16" s="69"/>
      <c r="D16" s="59">
        <f>'Painel do Aceite'!D17</f>
        <v>0</v>
      </c>
      <c r="E16" s="1"/>
      <c r="F16" s="4" t="s">
        <v>40</v>
      </c>
      <c r="G16" s="4"/>
      <c r="H16" s="60">
        <f>'Painel do Aceite'!H17</f>
        <v>0</v>
      </c>
      <c r="I16" s="1"/>
      <c r="J16" s="4" t="s">
        <v>44</v>
      </c>
      <c r="K16" s="4"/>
      <c r="L16" s="60">
        <f>'Painel do Aceite'!L17</f>
        <v>0</v>
      </c>
    </row>
    <row r="17" spans="2:12">
      <c r="B17" s="69" t="s">
        <v>20</v>
      </c>
      <c r="C17" s="69"/>
      <c r="D17" s="59">
        <f>'Painel do Aceite'!D18</f>
        <v>0</v>
      </c>
      <c r="E17" s="1"/>
      <c r="F17" s="4" t="s">
        <v>41</v>
      </c>
      <c r="G17" s="4"/>
      <c r="H17" s="60">
        <f>'Painel do Aceite'!H18</f>
        <v>0</v>
      </c>
      <c r="I17" s="1"/>
      <c r="J17" s="4" t="s">
        <v>45</v>
      </c>
      <c r="K17" s="4"/>
      <c r="L17" s="60">
        <f>'Painel do Aceite'!L18</f>
        <v>0</v>
      </c>
    </row>
    <row r="18" spans="2:12">
      <c r="B18" s="69" t="s">
        <v>22</v>
      </c>
      <c r="C18" s="69"/>
      <c r="D18" s="59">
        <f>'Painel do Aceite'!D19</f>
        <v>0</v>
      </c>
      <c r="E18" s="1"/>
      <c r="F18" s="4" t="s">
        <v>133</v>
      </c>
      <c r="G18" s="4"/>
      <c r="H18" s="60">
        <f>'Painel do Aceite'!H19</f>
        <v>0</v>
      </c>
      <c r="I18" s="1"/>
      <c r="J18" s="4" t="s">
        <v>46</v>
      </c>
      <c r="K18" s="4"/>
      <c r="L18" s="60">
        <f>'Painel do Aceite'!L19</f>
        <v>0</v>
      </c>
    </row>
    <row r="19" spans="2:12">
      <c r="B19" s="69" t="s">
        <v>23</v>
      </c>
      <c r="C19" s="69"/>
      <c r="D19" s="59">
        <f>'Painel do Aceite'!D20</f>
        <v>0</v>
      </c>
      <c r="E19" s="1"/>
      <c r="F19" s="4" t="s">
        <v>32</v>
      </c>
      <c r="G19" s="4"/>
      <c r="H19" s="60">
        <f>'Painel do Aceite'!H20</f>
        <v>0</v>
      </c>
      <c r="I19" s="1"/>
      <c r="J19" s="4" t="s">
        <v>47</v>
      </c>
      <c r="K19" s="4"/>
      <c r="L19" s="60">
        <f>'Painel do Aceite'!L20</f>
        <v>0</v>
      </c>
    </row>
    <row r="20" spans="2:12">
      <c r="B20" s="69" t="s">
        <v>24</v>
      </c>
      <c r="C20" s="69"/>
      <c r="D20" s="59">
        <f>'Painel do Aceite'!D21</f>
        <v>0</v>
      </c>
      <c r="E20" s="1"/>
      <c r="F20" s="4" t="s">
        <v>33</v>
      </c>
      <c r="G20" s="4"/>
      <c r="H20" s="60">
        <f>'Painel do Aceite'!H21</f>
        <v>0</v>
      </c>
      <c r="I20" s="1"/>
      <c r="J20" s="4" t="s">
        <v>50</v>
      </c>
      <c r="K20" s="4"/>
      <c r="L20" s="60">
        <f>'Painel do Aceite'!L21</f>
        <v>0</v>
      </c>
    </row>
    <row r="21" spans="2:12">
      <c r="B21" s="69" t="s">
        <v>25</v>
      </c>
      <c r="C21" s="69"/>
      <c r="D21" s="59">
        <f>'Painel do Aceite'!D22</f>
        <v>0</v>
      </c>
      <c r="E21" s="1"/>
      <c r="F21" s="4" t="s">
        <v>34</v>
      </c>
      <c r="G21" s="4"/>
      <c r="H21" s="60">
        <f>'Painel do Aceite'!H22</f>
        <v>0</v>
      </c>
      <c r="I21" s="1"/>
      <c r="J21" s="4" t="s">
        <v>49</v>
      </c>
      <c r="K21" s="4"/>
      <c r="L21" s="60">
        <f>'Painel do Aceite'!L22</f>
        <v>0</v>
      </c>
    </row>
    <row r="22" spans="2:12">
      <c r="B22" s="69" t="s">
        <v>26</v>
      </c>
      <c r="C22" s="69"/>
      <c r="D22" s="59">
        <f>'Painel do Aceite'!D23</f>
        <v>0</v>
      </c>
      <c r="E22" s="1"/>
      <c r="F22" s="4" t="s">
        <v>135</v>
      </c>
      <c r="G22" s="4"/>
      <c r="H22" s="60">
        <f>'Painel do Aceite'!H23</f>
        <v>0</v>
      </c>
      <c r="I22" s="1"/>
      <c r="J22" s="4" t="s">
        <v>48</v>
      </c>
      <c r="K22" s="4"/>
      <c r="L22" s="60">
        <f>'Painel do Aceite'!L23</f>
        <v>0</v>
      </c>
    </row>
    <row r="23" spans="2:12">
      <c r="B23" s="67" t="s">
        <v>27</v>
      </c>
      <c r="C23" s="68"/>
      <c r="D23" s="59">
        <f>'Painel do Aceite'!D24</f>
        <v>0</v>
      </c>
      <c r="E23" s="1"/>
      <c r="F23" s="4" t="s">
        <v>36</v>
      </c>
      <c r="G23" s="4"/>
      <c r="H23" s="60">
        <f>'Painel do Aceite'!H24</f>
        <v>0</v>
      </c>
      <c r="I23" s="1"/>
      <c r="J23" s="63" t="s">
        <v>51</v>
      </c>
      <c r="K23" s="64"/>
      <c r="L23" s="60">
        <f>'Painel do Aceite'!L24</f>
        <v>0</v>
      </c>
    </row>
    <row r="24" spans="2:12">
      <c r="B24" s="69" t="s">
        <v>28</v>
      </c>
      <c r="C24" s="69"/>
      <c r="D24" s="59">
        <f>'Painel do Aceite'!D25</f>
        <v>0</v>
      </c>
      <c r="E24" s="1"/>
      <c r="F24" s="4" t="s">
        <v>37</v>
      </c>
      <c r="G24" s="4"/>
      <c r="H24" s="60">
        <f>'Painel do Aceite'!H25</f>
        <v>0</v>
      </c>
      <c r="I24" s="1"/>
      <c r="J24" s="69" t="s">
        <v>29</v>
      </c>
      <c r="K24" s="69"/>
      <c r="L24" s="60">
        <f>'Painel do Aceite'!L25</f>
        <v>0</v>
      </c>
    </row>
    <row r="25" spans="2:12">
      <c r="B25" s="67" t="s">
        <v>137</v>
      </c>
      <c r="C25" s="68"/>
      <c r="D25" s="59" t="str">
        <f>'Painel do Aceite'!D26</f>
        <v>ok</v>
      </c>
      <c r="E25" s="1"/>
      <c r="F25" s="63" t="s">
        <v>63</v>
      </c>
      <c r="G25" s="64"/>
      <c r="H25" s="60">
        <f>'Painel do Aceite'!H26</f>
        <v>0</v>
      </c>
      <c r="I25" s="1"/>
      <c r="J25" s="63" t="s">
        <v>60</v>
      </c>
      <c r="K25" s="64"/>
      <c r="L25" s="60" t="str">
        <f>'Painel do Aceite'!L26</f>
        <v>NÃO</v>
      </c>
    </row>
    <row r="26" spans="2:12">
      <c r="B26" s="63" t="s">
        <v>83</v>
      </c>
      <c r="C26" s="64"/>
      <c r="D26" s="59">
        <f>'Painel do Aceite'!D27</f>
        <v>0</v>
      </c>
      <c r="E26" s="1"/>
      <c r="F26" s="63" t="s">
        <v>64</v>
      </c>
      <c r="G26" s="64"/>
      <c r="H26" s="60" t="str">
        <f>'Painel do Aceite'!H27</f>
        <v>INSERIR MANUALMENTE</v>
      </c>
      <c r="I26" s="1"/>
      <c r="J26" s="62" t="s">
        <v>61</v>
      </c>
      <c r="K26" s="62"/>
      <c r="L26" s="60" t="str">
        <f>'Painel do Aceite'!L27</f>
        <v>NÃO</v>
      </c>
    </row>
    <row r="27" spans="2:12">
      <c r="B27" s="63" t="s">
        <v>65</v>
      </c>
      <c r="C27" s="64"/>
      <c r="D27" s="59">
        <f>'Painel do Aceite'!D28</f>
        <v>0</v>
      </c>
      <c r="E27" s="1"/>
      <c r="F27" s="63" t="s">
        <v>67</v>
      </c>
      <c r="G27" s="64"/>
      <c r="H27" s="60">
        <f>'Painel do Aceite'!H28</f>
        <v>0</v>
      </c>
      <c r="I27" s="1"/>
      <c r="J27" s="62" t="s">
        <v>128</v>
      </c>
      <c r="K27" s="62"/>
      <c r="L27" s="60">
        <f>'Painel do Aceite'!L28</f>
        <v>0</v>
      </c>
    </row>
    <row r="28" spans="2:12" ht="16">
      <c r="B28" s="63" t="s">
        <v>35</v>
      </c>
      <c r="C28" s="64"/>
      <c r="D28" s="59">
        <f>'Painel do Aceite'!D29</f>
        <v>0</v>
      </c>
      <c r="E28" s="1"/>
      <c r="F28" s="62" t="s">
        <v>127</v>
      </c>
      <c r="G28" s="62"/>
      <c r="H28" s="60" t="str">
        <f>'Painel do Aceite'!H29</f>
        <v>SIM</v>
      </c>
      <c r="I28" s="3"/>
      <c r="J28" s="65" t="s">
        <v>129</v>
      </c>
      <c r="K28" s="65"/>
      <c r="L28" s="60">
        <f>'Painel do Aceite'!L29</f>
        <v>0</v>
      </c>
    </row>
    <row r="29" spans="2:12" ht="16">
      <c r="B29" s="63" t="s">
        <v>130</v>
      </c>
      <c r="C29" s="64"/>
      <c r="D29" s="59">
        <f>'Painel do Aceite'!D30</f>
        <v>0</v>
      </c>
      <c r="E29" s="1"/>
      <c r="F29" s="2"/>
      <c r="G29" s="2"/>
      <c r="I29" s="3"/>
      <c r="J29" s="62" t="s">
        <v>131</v>
      </c>
      <c r="K29" s="62"/>
      <c r="L29" s="60" t="str">
        <f>'Painel do Aceite'!L30</f>
        <v>NÃO</v>
      </c>
    </row>
    <row r="30" spans="2:12" ht="16">
      <c r="B30" s="61" t="s">
        <v>139</v>
      </c>
      <c r="C30" s="61"/>
      <c r="D30" s="59">
        <f>'Painel do Aceite'!D31</f>
        <v>0</v>
      </c>
      <c r="E30" s="1"/>
      <c r="F30" s="2"/>
      <c r="G30" s="2"/>
      <c r="I30" s="3"/>
      <c r="J30" s="1"/>
      <c r="K30" s="1"/>
      <c r="L30" s="1"/>
    </row>
    <row r="31" spans="2:12" ht="16">
      <c r="B31" s="61" t="s">
        <v>140</v>
      </c>
      <c r="C31" s="61"/>
      <c r="D31" s="59">
        <f>'Painel do Aceite'!D32</f>
        <v>0</v>
      </c>
      <c r="E31" s="1"/>
      <c r="F31" s="2"/>
      <c r="G31" s="2"/>
      <c r="I31" s="3"/>
      <c r="J31" s="1"/>
      <c r="K31" s="1"/>
      <c r="L31" s="1"/>
    </row>
    <row r="37" spans="2:23" ht="44.75" customHeight="1">
      <c r="B37" s="79" t="s">
        <v>73</v>
      </c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</row>
    <row r="38" spans="2:23" ht="22.25" customHeight="1">
      <c r="B38" s="80" t="s">
        <v>74</v>
      </c>
      <c r="C38" s="80"/>
      <c r="D38" s="80"/>
      <c r="E38" s="80"/>
      <c r="F38" s="80" t="s">
        <v>75</v>
      </c>
      <c r="G38" s="80"/>
      <c r="H38" s="80"/>
      <c r="I38" s="80"/>
      <c r="J38" s="81" t="s">
        <v>76</v>
      </c>
      <c r="K38" s="81"/>
      <c r="L38" s="81"/>
      <c r="M38" s="81"/>
      <c r="N38" s="81"/>
    </row>
    <row r="39" spans="2:23" ht="22.25" customHeight="1">
      <c r="B39" s="80" t="s">
        <v>77</v>
      </c>
      <c r="C39" s="80"/>
      <c r="D39" s="80"/>
      <c r="E39" s="80"/>
      <c r="F39" s="80" t="s">
        <v>78</v>
      </c>
      <c r="G39" s="80"/>
      <c r="H39" s="80"/>
      <c r="I39" s="80"/>
      <c r="J39" s="81"/>
      <c r="K39" s="81"/>
      <c r="L39" s="81"/>
      <c r="M39" s="81"/>
      <c r="N39" s="81"/>
    </row>
    <row r="40" spans="2:23" ht="22.25" customHeight="1">
      <c r="B40" s="29" t="s">
        <v>79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7"/>
    </row>
    <row r="41" spans="2:23" ht="18" customHeight="1">
      <c r="B41" s="82" t="s">
        <v>8</v>
      </c>
      <c r="C41" s="83"/>
      <c r="D41" s="56">
        <f>IF(C5="","",C5)</f>
        <v>0</v>
      </c>
      <c r="E41" s="55"/>
      <c r="F41" s="55"/>
      <c r="G41" s="55"/>
      <c r="H41" s="55"/>
      <c r="I41" s="55"/>
      <c r="J41" s="55"/>
      <c r="K41" s="55"/>
      <c r="L41" s="55"/>
      <c r="M41" s="55"/>
      <c r="N41" s="54"/>
      <c r="Q41" s="53"/>
    </row>
    <row r="42" spans="2:23" ht="18" customHeight="1">
      <c r="B42" s="82" t="s">
        <v>9</v>
      </c>
      <c r="C42" s="83"/>
      <c r="D42" s="52">
        <f>IF(C3="","",C3)</f>
        <v>0</v>
      </c>
      <c r="E42" s="51"/>
      <c r="F42" s="51"/>
      <c r="G42" s="51"/>
      <c r="H42" s="51"/>
      <c r="I42" s="51"/>
      <c r="J42" s="51"/>
      <c r="K42" s="51"/>
      <c r="L42" s="51"/>
      <c r="M42" s="51"/>
      <c r="N42" s="50"/>
    </row>
    <row r="43" spans="2:23" ht="18" customHeight="1">
      <c r="B43" s="82" t="s">
        <v>2</v>
      </c>
      <c r="C43" s="83"/>
      <c r="D43" s="49" t="s">
        <v>10</v>
      </c>
      <c r="E43" s="48">
        <f>IF(C4="","",C4)</f>
        <v>0</v>
      </c>
      <c r="F43" s="47"/>
      <c r="G43" s="47"/>
      <c r="H43" s="47"/>
      <c r="I43" s="47"/>
      <c r="J43" s="47"/>
      <c r="K43" s="47"/>
      <c r="L43" s="47"/>
      <c r="M43" s="47"/>
      <c r="N43" s="46"/>
    </row>
    <row r="44" spans="2:23" ht="18" customHeight="1">
      <c r="B44" s="82"/>
      <c r="C44" s="83"/>
      <c r="D44" s="44" t="s">
        <v>11</v>
      </c>
      <c r="E44" s="45">
        <f>IF(C6="","",C6)</f>
        <v>0</v>
      </c>
      <c r="F44" s="45"/>
      <c r="G44" s="44" t="s">
        <v>12</v>
      </c>
      <c r="H44" s="45">
        <f>IF(C7="","",C7)</f>
        <v>0</v>
      </c>
      <c r="I44" s="45"/>
      <c r="J44" s="44" t="s">
        <v>6</v>
      </c>
      <c r="K44" s="103">
        <f>IF(C8="","",C8)</f>
        <v>0</v>
      </c>
      <c r="L44" s="104"/>
      <c r="M44" s="104"/>
      <c r="N44" s="105"/>
    </row>
    <row r="45" spans="2:23" ht="24" customHeight="1">
      <c r="B45" s="43" t="s">
        <v>0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1"/>
    </row>
    <row r="46" spans="2:23" ht="33" customHeight="1">
      <c r="B46" s="106" t="s">
        <v>80</v>
      </c>
      <c r="C46" s="107"/>
      <c r="D46" s="107"/>
      <c r="E46" s="107"/>
      <c r="F46" s="108" t="str">
        <f>IF(D12&lt;&gt;0,IF(D12="NP","NP","OK"),"")</f>
        <v/>
      </c>
      <c r="G46" s="108"/>
      <c r="H46" s="107" t="s">
        <v>81</v>
      </c>
      <c r="I46" s="107"/>
      <c r="J46" s="107"/>
      <c r="K46" s="107"/>
      <c r="L46" s="107"/>
      <c r="M46" s="109" t="str">
        <f>IF(D26&lt;&gt;"NP","OK",IF(D25&lt;&gt;0,"OK",""))</f>
        <v>OK</v>
      </c>
      <c r="N46" s="110"/>
    </row>
    <row r="47" spans="2:23" ht="30" customHeight="1">
      <c r="B47" s="111" t="s">
        <v>82</v>
      </c>
      <c r="C47" s="111"/>
      <c r="D47" s="111"/>
      <c r="E47" s="111"/>
      <c r="F47" s="108" t="str">
        <f>IF(D22&lt;&gt;0,IF(D22="NP","NP","OK"),"")</f>
        <v/>
      </c>
      <c r="G47" s="108"/>
      <c r="H47" s="107" t="s">
        <v>83</v>
      </c>
      <c r="I47" s="107"/>
      <c r="J47" s="107" t="s">
        <v>84</v>
      </c>
      <c r="K47" s="107"/>
      <c r="L47" s="107"/>
      <c r="M47" s="112" t="str">
        <f>IF(D26&lt;&gt;"NP","Dec Energia",IF(D25&lt;&gt;0,"Foto Google",""))</f>
        <v>Dec Energia</v>
      </c>
      <c r="N47" s="113"/>
      <c r="Q47" s="40"/>
    </row>
    <row r="48" spans="2:23" ht="27.5" customHeight="1">
      <c r="B48" s="111" t="s">
        <v>85</v>
      </c>
      <c r="C48" s="111"/>
      <c r="D48" s="111" t="s">
        <v>84</v>
      </c>
      <c r="E48" s="111"/>
      <c r="F48" s="108" t="str">
        <f>IF(D29&lt;&gt;0,IF(D29="NP","NP","OK"),"")</f>
        <v/>
      </c>
      <c r="G48" s="108"/>
      <c r="H48" s="107" t="s">
        <v>86</v>
      </c>
      <c r="I48" s="107"/>
      <c r="J48" s="107"/>
      <c r="K48" s="107"/>
      <c r="L48" s="107"/>
      <c r="M48" s="109" t="str">
        <f>IF(D21&lt;&gt;0,IF(D21="NP","NP","OK"),"")</f>
        <v/>
      </c>
      <c r="N48" s="110"/>
      <c r="S48" s="121"/>
      <c r="T48" s="121"/>
      <c r="U48" s="121"/>
      <c r="V48" s="121"/>
      <c r="W48" s="121"/>
    </row>
    <row r="49" spans="2:23" ht="24" customHeight="1">
      <c r="B49" s="111" t="s">
        <v>87</v>
      </c>
      <c r="C49" s="111"/>
      <c r="D49" s="111" t="s">
        <v>84</v>
      </c>
      <c r="E49" s="111"/>
      <c r="F49" s="108" t="str">
        <f>IF(D15&lt;&gt;0,IF(D15="NP","NP","OK"),"")</f>
        <v/>
      </c>
      <c r="G49" s="108"/>
      <c r="H49" s="107" t="s">
        <v>88</v>
      </c>
      <c r="I49" s="107"/>
      <c r="J49" s="107"/>
      <c r="K49" s="107"/>
      <c r="L49" s="107"/>
      <c r="M49" s="109" t="str">
        <f>IF(D25&lt;&gt;0,IF(D25="NP","NP","OK"),"")</f>
        <v>OK</v>
      </c>
      <c r="N49" s="110"/>
      <c r="S49" s="40"/>
      <c r="T49" s="39"/>
      <c r="U49" s="39"/>
      <c r="V49" s="38"/>
      <c r="W49" s="38"/>
    </row>
    <row r="50" spans="2:23" ht="26.5" customHeight="1">
      <c r="B50" s="111" t="s">
        <v>89</v>
      </c>
      <c r="C50" s="111"/>
      <c r="D50" s="111" t="s">
        <v>84</v>
      </c>
      <c r="E50" s="111"/>
      <c r="F50" s="108" t="str">
        <f>IF(D23&lt;&gt;0,IF(D23="NP","NP","OK"),"")</f>
        <v/>
      </c>
      <c r="G50" s="108"/>
      <c r="H50" s="107" t="s">
        <v>90</v>
      </c>
      <c r="I50" s="107"/>
      <c r="J50" s="107" t="s">
        <v>84</v>
      </c>
      <c r="K50" s="107"/>
      <c r="L50" s="107"/>
      <c r="M50" s="109" t="str">
        <f>CONCATENATE(IF(D19&lt;&gt;0,IF(D19="NP","NP","OK"),"")," / ",IF(D20&lt;&gt;0,IF(D20="NP","NP","OK"),""))</f>
        <v xml:space="preserve"> / </v>
      </c>
      <c r="N50" s="110"/>
      <c r="S50" s="40"/>
      <c r="T50" s="39"/>
      <c r="U50" s="39"/>
      <c r="V50" s="38"/>
      <c r="W50" s="38"/>
    </row>
    <row r="51" spans="2:23" ht="26.5" customHeight="1">
      <c r="B51" s="111" t="s">
        <v>91</v>
      </c>
      <c r="C51" s="111"/>
      <c r="D51" s="111"/>
      <c r="E51" s="111"/>
      <c r="F51" s="108" t="str">
        <f>IF(D16&lt;&gt;0,IF(D16="NP","NP","OK"),"")</f>
        <v/>
      </c>
      <c r="G51" s="108"/>
      <c r="H51" s="107" t="s">
        <v>92</v>
      </c>
      <c r="I51" s="107"/>
      <c r="J51" s="107"/>
      <c r="K51" s="107"/>
      <c r="L51" s="107"/>
      <c r="M51" s="109" t="str">
        <f>IF(D13&lt;&gt;0,IF(D13="NP","NP","OK"),"")</f>
        <v/>
      </c>
      <c r="N51" s="110"/>
    </row>
    <row r="52" spans="2:23" ht="24" customHeight="1">
      <c r="B52" s="111" t="s">
        <v>13</v>
      </c>
      <c r="C52" s="111"/>
      <c r="D52" s="111"/>
      <c r="E52" s="111"/>
      <c r="F52" s="108" t="str">
        <f>IF(D17&lt;&gt;0,IF(D17="NP","NP","OK"),"")</f>
        <v/>
      </c>
      <c r="G52" s="108"/>
      <c r="H52" s="114" t="s">
        <v>93</v>
      </c>
      <c r="I52" s="115"/>
      <c r="J52" s="115"/>
      <c r="K52" s="115"/>
      <c r="L52" s="115"/>
      <c r="M52" s="115"/>
      <c r="N52" s="116"/>
    </row>
    <row r="53" spans="2:23" ht="24" customHeight="1">
      <c r="B53" s="37" t="s">
        <v>94</v>
      </c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5"/>
    </row>
    <row r="54" spans="2:23" ht="24" customHeight="1">
      <c r="B54" s="34" t="s">
        <v>95</v>
      </c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2"/>
    </row>
    <row r="55" spans="2:23" ht="24" customHeight="1">
      <c r="B55" s="117" t="s">
        <v>96</v>
      </c>
      <c r="C55" s="118"/>
      <c r="D55" s="118" t="s">
        <v>97</v>
      </c>
      <c r="E55" s="118"/>
      <c r="F55" s="119" t="str">
        <f>IF(H24&lt;&gt;0,IF(H24="NP","NP",H24),"")</f>
        <v/>
      </c>
      <c r="G55" s="119"/>
      <c r="H55" s="120" t="s">
        <v>15</v>
      </c>
      <c r="I55" s="120"/>
      <c r="J55" s="120"/>
      <c r="K55" s="120"/>
      <c r="L55" s="120"/>
      <c r="M55" s="108" t="str">
        <f>IF(L8&lt;&gt;0,IF(L8="NP","NP",L8),"")</f>
        <v/>
      </c>
      <c r="N55" s="122"/>
    </row>
    <row r="56" spans="2:23" ht="24" customHeight="1">
      <c r="B56" s="123" t="s">
        <v>98</v>
      </c>
      <c r="C56" s="124"/>
      <c r="D56" s="124"/>
      <c r="E56" s="124"/>
      <c r="F56" s="119" t="str">
        <f>IF(H23&lt;&gt;0,IF(H23="NP","NP",H23),"")</f>
        <v/>
      </c>
      <c r="G56" s="119"/>
      <c r="H56" s="120"/>
      <c r="I56" s="120"/>
      <c r="J56" s="120"/>
      <c r="K56" s="120"/>
      <c r="L56" s="120"/>
      <c r="M56" s="108"/>
      <c r="N56" s="122"/>
    </row>
    <row r="57" spans="2:23" ht="24" customHeight="1">
      <c r="B57" s="106" t="s">
        <v>99</v>
      </c>
      <c r="C57" s="107"/>
      <c r="D57" s="107"/>
      <c r="E57" s="107"/>
      <c r="F57" s="119" t="str">
        <f>IF(L23&lt;&gt;0,IF(L23="NP","NP",L23),"")</f>
        <v/>
      </c>
      <c r="G57" s="119"/>
      <c r="H57" s="120" t="s">
        <v>5</v>
      </c>
      <c r="I57" s="120"/>
      <c r="J57" s="120"/>
      <c r="K57" s="120"/>
      <c r="L57" s="120"/>
      <c r="M57" s="108" t="str">
        <f>IF(H25&lt;&gt;0,IF(H25="NP","NP",H25),"0")</f>
        <v>0</v>
      </c>
      <c r="N57" s="122"/>
    </row>
    <row r="58" spans="2:23" ht="24" customHeight="1">
      <c r="B58" s="106" t="s">
        <v>100</v>
      </c>
      <c r="C58" s="107"/>
      <c r="D58" s="107"/>
      <c r="E58" s="107"/>
      <c r="F58" s="119" t="str">
        <f>IF(L17&lt;&gt;0,IF(L17="NP","NP",L17),"")</f>
        <v/>
      </c>
      <c r="G58" s="119"/>
      <c r="H58" s="120"/>
      <c r="I58" s="120"/>
      <c r="J58" s="120"/>
      <c r="K58" s="120"/>
      <c r="L58" s="120"/>
      <c r="M58" s="108"/>
      <c r="N58" s="122"/>
    </row>
    <row r="59" spans="2:23" ht="24" customHeight="1">
      <c r="B59" s="106" t="s">
        <v>101</v>
      </c>
      <c r="C59" s="107"/>
      <c r="D59" s="107"/>
      <c r="E59" s="107"/>
      <c r="F59" s="119" t="str">
        <f>IF(L27&lt;&gt;0,IF(L27="NP","NP",L27),"")</f>
        <v/>
      </c>
      <c r="G59" s="119"/>
      <c r="H59" s="120" t="s">
        <v>141</v>
      </c>
      <c r="I59" s="120"/>
      <c r="J59" s="120"/>
      <c r="K59" s="120"/>
      <c r="L59" s="120"/>
      <c r="M59" s="108" t="str">
        <f>CONCATENATE(IF(L6&lt;&gt;0,IF(L6="NP","NP",L6),"0")," / ",IF(L4&lt;&gt;0,IF(L4="NP","NP",L4),"0"))</f>
        <v>0 / 0</v>
      </c>
      <c r="N59" s="122"/>
      <c r="S59" s="31"/>
    </row>
    <row r="60" spans="2:23" ht="24" customHeight="1">
      <c r="B60" s="106" t="s">
        <v>102</v>
      </c>
      <c r="C60" s="107"/>
      <c r="D60" s="107"/>
      <c r="E60" s="107"/>
      <c r="F60" s="119" t="str">
        <f>IF(L20&lt;&gt;0,IF(L20="NP","NP",L20),"")</f>
        <v/>
      </c>
      <c r="G60" s="119"/>
      <c r="H60" s="120"/>
      <c r="I60" s="120"/>
      <c r="J60" s="120"/>
      <c r="K60" s="120"/>
      <c r="L60" s="120"/>
      <c r="M60" s="108"/>
      <c r="N60" s="122"/>
    </row>
    <row r="61" spans="2:23" ht="24" customHeight="1">
      <c r="B61" s="125" t="s">
        <v>103</v>
      </c>
      <c r="C61" s="126"/>
      <c r="D61" s="126"/>
      <c r="E61" s="126"/>
      <c r="F61" s="119" t="str">
        <f>IF(L13&lt;&gt;0,IF(L13="NP","NP",L13),"")</f>
        <v>NÃO</v>
      </c>
      <c r="G61" s="119"/>
      <c r="H61" s="127" t="s">
        <v>104</v>
      </c>
      <c r="I61" s="127"/>
      <c r="J61" s="127"/>
      <c r="K61" s="127"/>
      <c r="L61" s="127"/>
      <c r="M61" s="128" t="str">
        <f>IF(L3&lt;&gt;0,IF(L3="NP","NP",L3),"0")</f>
        <v>0</v>
      </c>
      <c r="N61" s="129"/>
    </row>
    <row r="62" spans="2:23" ht="24" customHeight="1">
      <c r="B62" s="106" t="s">
        <v>105</v>
      </c>
      <c r="C62" s="107"/>
      <c r="D62" s="107"/>
      <c r="E62" s="107"/>
      <c r="F62" s="119" t="str">
        <f>IF(H28&lt;&gt;0,IF(H28="NP","NP",H28),"")</f>
        <v>SIM</v>
      </c>
      <c r="G62" s="119"/>
      <c r="H62" s="127"/>
      <c r="I62" s="127"/>
      <c r="J62" s="127"/>
      <c r="K62" s="127"/>
      <c r="L62" s="127"/>
      <c r="M62" s="128"/>
      <c r="N62" s="129"/>
    </row>
    <row r="63" spans="2:23" ht="24" customHeight="1">
      <c r="B63" s="106" t="s">
        <v>106</v>
      </c>
      <c r="C63" s="107"/>
      <c r="D63" s="107"/>
      <c r="E63" s="107"/>
      <c r="F63" s="119" t="str">
        <f>IF(L18&lt;&gt;0,IF(L18="NP","NP",L18),"")</f>
        <v/>
      </c>
      <c r="G63" s="119"/>
      <c r="H63" s="127" t="s">
        <v>104</v>
      </c>
      <c r="I63" s="127"/>
      <c r="J63" s="127"/>
      <c r="K63" s="127"/>
      <c r="L63" s="127"/>
      <c r="M63" s="128" t="s">
        <v>1</v>
      </c>
      <c r="N63" s="129"/>
    </row>
    <row r="64" spans="2:23" ht="24" customHeight="1">
      <c r="B64" s="125" t="s">
        <v>107</v>
      </c>
      <c r="C64" s="126"/>
      <c r="D64" s="126"/>
      <c r="E64" s="126"/>
      <c r="F64" s="119" t="str">
        <f>IF(L28&lt;&gt;0,IF(L28="NP","NP",L28),"")</f>
        <v/>
      </c>
      <c r="G64" s="119"/>
      <c r="H64" s="127"/>
      <c r="I64" s="127"/>
      <c r="J64" s="127"/>
      <c r="K64" s="127"/>
      <c r="L64" s="127"/>
      <c r="M64" s="128"/>
      <c r="N64" s="129"/>
    </row>
    <row r="65" spans="2:17" ht="24" customHeight="1">
      <c r="B65" s="106" t="s">
        <v>108</v>
      </c>
      <c r="C65" s="107"/>
      <c r="D65" s="107"/>
      <c r="E65" s="107"/>
      <c r="F65" s="119" t="str">
        <f>IF(L29&lt;&gt;0,IF(L29="NP","NP",L29),"")</f>
        <v>NÃO</v>
      </c>
      <c r="G65" s="119"/>
      <c r="H65" s="127"/>
      <c r="I65" s="127"/>
      <c r="J65" s="127"/>
      <c r="K65" s="127"/>
      <c r="L65" s="127"/>
      <c r="M65" s="128"/>
      <c r="N65" s="129"/>
    </row>
    <row r="66" spans="2:17" ht="24" customHeight="1">
      <c r="B66" s="131" t="s">
        <v>109</v>
      </c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</row>
    <row r="67" spans="2:17" ht="24" customHeight="1">
      <c r="B67" s="120" t="s">
        <v>4</v>
      </c>
      <c r="C67" s="120"/>
      <c r="D67" s="30"/>
      <c r="E67" s="120" t="s">
        <v>110</v>
      </c>
      <c r="F67" s="120"/>
      <c r="G67" s="120" t="s">
        <v>111</v>
      </c>
      <c r="H67" s="120"/>
      <c r="I67" s="120" t="s">
        <v>112</v>
      </c>
      <c r="J67" s="120"/>
      <c r="K67" s="120" t="s">
        <v>112</v>
      </c>
      <c r="L67" s="120"/>
      <c r="M67" s="120" t="s">
        <v>113</v>
      </c>
      <c r="N67" s="120"/>
    </row>
    <row r="68" spans="2:17" ht="24" customHeight="1">
      <c r="B68" s="120" t="s">
        <v>114</v>
      </c>
      <c r="C68" s="120"/>
      <c r="D68" s="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</row>
    <row r="69" spans="2:17" ht="24" customHeight="1">
      <c r="B69" s="120" t="s">
        <v>115</v>
      </c>
      <c r="C69" s="120"/>
      <c r="D69" s="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</row>
    <row r="70" spans="2:17" ht="24" customHeight="1">
      <c r="B70" s="120" t="s">
        <v>116</v>
      </c>
      <c r="C70" s="120"/>
      <c r="D70" s="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</row>
    <row r="71" spans="2:17" ht="35" customHeight="1">
      <c r="B71" s="29" t="s">
        <v>117</v>
      </c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7"/>
      <c r="Q71" s="26"/>
    </row>
    <row r="72" spans="2:17" ht="29" customHeight="1">
      <c r="B72" s="132" t="s">
        <v>118</v>
      </c>
      <c r="C72" s="132"/>
      <c r="D72" s="132"/>
      <c r="E72" s="132"/>
      <c r="F72" s="132" t="s">
        <v>119</v>
      </c>
      <c r="G72" s="132"/>
      <c r="H72" s="132"/>
      <c r="I72" s="132"/>
      <c r="J72" s="132"/>
      <c r="K72" s="133" t="s">
        <v>14</v>
      </c>
      <c r="L72" s="134"/>
      <c r="M72" s="135">
        <f>'Painel do Aceite'!L10</f>
        <v>0</v>
      </c>
      <c r="N72" s="136"/>
    </row>
    <row r="73" spans="2:17" ht="25.75" customHeight="1">
      <c r="B73" s="137" t="s">
        <v>120</v>
      </c>
      <c r="C73" s="137"/>
      <c r="D73" s="137" t="str">
        <f>CONCATENATE(IF(L5&lt;&gt;0,IF(L5="NP","NP",L5),"0")," m²")</f>
        <v>0 m²</v>
      </c>
      <c r="E73" s="137"/>
      <c r="F73" s="142" t="s">
        <v>120</v>
      </c>
      <c r="G73" s="142"/>
      <c r="H73" s="143" t="str">
        <f>CONCATENATE(L3-((IF(L4&lt;&gt;0,IF(L4="NP","NP",L4),"0"))+IF(L5&lt;&gt;0,IF(L5="NP","NP",L5),"0"))," m²")</f>
        <v>0 m²</v>
      </c>
      <c r="I73" s="143"/>
      <c r="J73" s="143"/>
      <c r="K73" s="94"/>
      <c r="L73" s="95"/>
      <c r="M73" s="95"/>
      <c r="N73" s="96"/>
    </row>
    <row r="74" spans="2:17" ht="24" customHeight="1">
      <c r="B74" s="132" t="s">
        <v>121</v>
      </c>
      <c r="C74" s="132"/>
      <c r="D74" s="132"/>
      <c r="E74" s="132"/>
      <c r="F74" s="142"/>
      <c r="G74" s="142"/>
      <c r="H74" s="143"/>
      <c r="I74" s="143"/>
      <c r="J74" s="143"/>
      <c r="K74" s="97"/>
      <c r="L74" s="98"/>
      <c r="M74" s="98"/>
      <c r="N74" s="99"/>
    </row>
    <row r="75" spans="2:17" ht="25" customHeight="1">
      <c r="B75" s="137" t="s">
        <v>120</v>
      </c>
      <c r="C75" s="137"/>
      <c r="D75" s="137" t="str">
        <f>CONCATENATE(IF(L4&lt;&gt;0,IF(L4="NP","NP",L4),"0")," m²")</f>
        <v>0 m²</v>
      </c>
      <c r="E75" s="137"/>
      <c r="F75" s="142"/>
      <c r="G75" s="142"/>
      <c r="H75" s="143"/>
      <c r="I75" s="143"/>
      <c r="J75" s="143"/>
      <c r="K75" s="97"/>
      <c r="L75" s="98"/>
      <c r="M75" s="98"/>
      <c r="N75" s="99"/>
    </row>
    <row r="76" spans="2:17" ht="25" customHeight="1">
      <c r="B76" s="138" t="s">
        <v>122</v>
      </c>
      <c r="C76" s="138"/>
      <c r="D76" s="138"/>
      <c r="E76" s="138"/>
      <c r="F76" s="138"/>
      <c r="G76" s="138"/>
      <c r="H76" s="138"/>
      <c r="I76" s="138"/>
      <c r="J76" s="138"/>
      <c r="K76" s="100"/>
      <c r="L76" s="101"/>
      <c r="M76" s="101"/>
      <c r="N76" s="102"/>
    </row>
    <row r="77" spans="2:17" ht="24" customHeight="1">
      <c r="B77" s="139" t="s">
        <v>123</v>
      </c>
      <c r="C77" s="139"/>
      <c r="D77" s="139"/>
      <c r="E77" s="139"/>
      <c r="F77" s="139"/>
      <c r="G77" s="139"/>
      <c r="H77" s="139"/>
      <c r="I77" s="139"/>
      <c r="J77" s="139"/>
      <c r="K77" s="91" t="s">
        <v>124</v>
      </c>
      <c r="L77" s="92"/>
      <c r="M77" s="92"/>
      <c r="N77" s="93"/>
    </row>
    <row r="78" spans="2:17" ht="24" customHeight="1">
      <c r="B78" s="140" t="s">
        <v>3</v>
      </c>
      <c r="C78" s="140"/>
      <c r="D78" s="140"/>
      <c r="E78" s="140"/>
      <c r="F78" s="140"/>
      <c r="G78" s="140"/>
      <c r="H78" s="140"/>
      <c r="I78" s="140"/>
      <c r="J78" s="140"/>
      <c r="K78" s="85" t="s">
        <v>125</v>
      </c>
      <c r="L78" s="86"/>
      <c r="M78" s="86"/>
      <c r="N78" s="87"/>
    </row>
    <row r="79" spans="2:17" ht="24" customHeight="1" thickBot="1">
      <c r="B79" s="141"/>
      <c r="C79" s="141"/>
      <c r="D79" s="141"/>
      <c r="E79" s="141"/>
      <c r="F79" s="141"/>
      <c r="G79" s="141"/>
      <c r="H79" s="141"/>
      <c r="I79" s="141"/>
      <c r="J79" s="140"/>
      <c r="K79" s="88" t="s">
        <v>126</v>
      </c>
      <c r="L79" s="89"/>
      <c r="M79" s="89"/>
      <c r="N79" s="90"/>
    </row>
    <row r="80" spans="2:17" ht="21.75" customHeight="1">
      <c r="B80" s="25"/>
      <c r="C80" s="25"/>
      <c r="D80" s="25"/>
      <c r="E80" s="25"/>
      <c r="F80" s="25"/>
      <c r="G80" s="25"/>
      <c r="H80" s="25"/>
    </row>
    <row r="81" spans="2:23" ht="62">
      <c r="B81" s="1"/>
      <c r="C81" s="12"/>
      <c r="H81" s="78" t="s">
        <v>132</v>
      </c>
      <c r="I81" s="78"/>
      <c r="J81" s="78"/>
      <c r="K81" s="78"/>
      <c r="L81" s="78"/>
      <c r="M81" s="84" t="s">
        <v>134</v>
      </c>
      <c r="N81" s="84"/>
      <c r="W81" s="23"/>
    </row>
    <row r="82" spans="2:23">
      <c r="W82" s="24"/>
    </row>
    <row r="83" spans="2:23">
      <c r="W83" s="24"/>
    </row>
    <row r="84" spans="2:23" ht="15.75" customHeight="1">
      <c r="F84" s="8"/>
      <c r="G84" s="8"/>
      <c r="H84" s="8"/>
      <c r="I84" s="9"/>
      <c r="J84" s="10"/>
      <c r="K84" s="10"/>
      <c r="L84" s="11"/>
      <c r="W84" s="23"/>
    </row>
    <row r="85" spans="2:23" ht="15.75" customHeight="1">
      <c r="F85" s="8"/>
      <c r="G85" s="8"/>
      <c r="H85" s="8"/>
      <c r="I85" s="9"/>
      <c r="J85" s="10"/>
      <c r="K85" s="10"/>
      <c r="L85" s="11"/>
      <c r="W85" s="23"/>
    </row>
    <row r="86" spans="2:23" ht="16">
      <c r="F86" s="8"/>
      <c r="G86" s="8"/>
      <c r="H86" s="8"/>
      <c r="I86" s="9"/>
      <c r="J86" s="10"/>
      <c r="K86" s="10"/>
      <c r="L86" s="11"/>
    </row>
    <row r="87" spans="2:23" ht="15.75" customHeight="1">
      <c r="F87" s="8"/>
      <c r="G87" s="8"/>
    </row>
    <row r="88" spans="2:23" ht="15.75" customHeight="1">
      <c r="F88" s="8"/>
      <c r="G88" s="8"/>
      <c r="H88" s="8"/>
      <c r="I88" s="9"/>
      <c r="J88" s="10"/>
      <c r="K88" s="10"/>
      <c r="L88" s="8"/>
    </row>
    <row r="89" spans="2:23" ht="16.5" customHeight="1">
      <c r="F89" s="8"/>
      <c r="G89" s="8"/>
      <c r="H89" s="8"/>
      <c r="I89" s="9"/>
      <c r="J89" s="10"/>
      <c r="K89" s="10"/>
      <c r="L89" s="11"/>
    </row>
  </sheetData>
  <mergeCells count="167">
    <mergeCell ref="B72:E72"/>
    <mergeCell ref="F72:J72"/>
    <mergeCell ref="K72:L72"/>
    <mergeCell ref="M72:N72"/>
    <mergeCell ref="B74:E74"/>
    <mergeCell ref="B75:C75"/>
    <mergeCell ref="B76:J76"/>
    <mergeCell ref="B77:J77"/>
    <mergeCell ref="B78:J79"/>
    <mergeCell ref="B73:C73"/>
    <mergeCell ref="F73:G75"/>
    <mergeCell ref="H73:J75"/>
    <mergeCell ref="D73:E73"/>
    <mergeCell ref="D75:E75"/>
    <mergeCell ref="B70:C70"/>
    <mergeCell ref="E70:F70"/>
    <mergeCell ref="G70:H70"/>
    <mergeCell ref="I70:J70"/>
    <mergeCell ref="K70:L70"/>
    <mergeCell ref="M70:N70"/>
    <mergeCell ref="B69:C69"/>
    <mergeCell ref="E69:F69"/>
    <mergeCell ref="G69:H69"/>
    <mergeCell ref="I69:J69"/>
    <mergeCell ref="K69:L69"/>
    <mergeCell ref="M69:N69"/>
    <mergeCell ref="B68:C68"/>
    <mergeCell ref="E68:F68"/>
    <mergeCell ref="G68:H68"/>
    <mergeCell ref="I68:J68"/>
    <mergeCell ref="K68:L68"/>
    <mergeCell ref="M68:N68"/>
    <mergeCell ref="B66:N66"/>
    <mergeCell ref="B67:C67"/>
    <mergeCell ref="E67:F67"/>
    <mergeCell ref="G67:H67"/>
    <mergeCell ref="I67:J67"/>
    <mergeCell ref="K67:L67"/>
    <mergeCell ref="M67:N67"/>
    <mergeCell ref="B65:E65"/>
    <mergeCell ref="F65:G65"/>
    <mergeCell ref="B57:E57"/>
    <mergeCell ref="F57:G57"/>
    <mergeCell ref="H57:L58"/>
    <mergeCell ref="M57:N58"/>
    <mergeCell ref="B58:E58"/>
    <mergeCell ref="F58:G58"/>
    <mergeCell ref="B59:E59"/>
    <mergeCell ref="F59:G59"/>
    <mergeCell ref="B61:E61"/>
    <mergeCell ref="F61:G61"/>
    <mergeCell ref="H61:L65"/>
    <mergeCell ref="M61:N65"/>
    <mergeCell ref="B62:E62"/>
    <mergeCell ref="F62:G62"/>
    <mergeCell ref="B63:E63"/>
    <mergeCell ref="F63:G63"/>
    <mergeCell ref="B64:E64"/>
    <mergeCell ref="F64:G64"/>
    <mergeCell ref="H59:L60"/>
    <mergeCell ref="M59:N60"/>
    <mergeCell ref="B60:E60"/>
    <mergeCell ref="F60:G60"/>
    <mergeCell ref="B52:E52"/>
    <mergeCell ref="F52:G52"/>
    <mergeCell ref="H52:N52"/>
    <mergeCell ref="B55:E55"/>
    <mergeCell ref="F55:G55"/>
    <mergeCell ref="H55:L56"/>
    <mergeCell ref="S48:W48"/>
    <mergeCell ref="B49:E49"/>
    <mergeCell ref="F49:G49"/>
    <mergeCell ref="H49:L49"/>
    <mergeCell ref="M49:N49"/>
    <mergeCell ref="M55:N56"/>
    <mergeCell ref="B56:E56"/>
    <mergeCell ref="F56:G56"/>
    <mergeCell ref="B50:E50"/>
    <mergeCell ref="F50:G50"/>
    <mergeCell ref="M50:N50"/>
    <mergeCell ref="B51:E51"/>
    <mergeCell ref="F51:G51"/>
    <mergeCell ref="H51:L51"/>
    <mergeCell ref="M51:N51"/>
    <mergeCell ref="B46:E46"/>
    <mergeCell ref="F46:G46"/>
    <mergeCell ref="H46:L46"/>
    <mergeCell ref="M46:N46"/>
    <mergeCell ref="B47:E47"/>
    <mergeCell ref="F47:G47"/>
    <mergeCell ref="H47:L47"/>
    <mergeCell ref="M47:N47"/>
    <mergeCell ref="H50:L50"/>
    <mergeCell ref="B48:E48"/>
    <mergeCell ref="F48:G48"/>
    <mergeCell ref="H48:L48"/>
    <mergeCell ref="M48:N48"/>
    <mergeCell ref="B43:C44"/>
    <mergeCell ref="K44:N44"/>
    <mergeCell ref="B27:C27"/>
    <mergeCell ref="F28:G28"/>
    <mergeCell ref="J27:K27"/>
    <mergeCell ref="B28:C28"/>
    <mergeCell ref="J28:K28"/>
    <mergeCell ref="B29:C29"/>
    <mergeCell ref="B30:C30"/>
    <mergeCell ref="B31:C31"/>
    <mergeCell ref="M81:N81"/>
    <mergeCell ref="K78:N79"/>
    <mergeCell ref="K77:N77"/>
    <mergeCell ref="K73:N76"/>
    <mergeCell ref="J23:K23"/>
    <mergeCell ref="J11:K11"/>
    <mergeCell ref="B12:C12"/>
    <mergeCell ref="F12:G12"/>
    <mergeCell ref="J12:K12"/>
    <mergeCell ref="B13:C13"/>
    <mergeCell ref="F13:G13"/>
    <mergeCell ref="B14:C14"/>
    <mergeCell ref="F14:G14"/>
    <mergeCell ref="F27:G27"/>
    <mergeCell ref="J26:K26"/>
    <mergeCell ref="B16:C16"/>
    <mergeCell ref="B17:C17"/>
    <mergeCell ref="B18:C18"/>
    <mergeCell ref="B19:C19"/>
    <mergeCell ref="B20:C20"/>
    <mergeCell ref="B21:C21"/>
    <mergeCell ref="B22:C22"/>
    <mergeCell ref="B23:C23"/>
    <mergeCell ref="B42:C42"/>
    <mergeCell ref="B1:L1"/>
    <mergeCell ref="C3:H3"/>
    <mergeCell ref="J3:K3"/>
    <mergeCell ref="C4:H4"/>
    <mergeCell ref="J4:K4"/>
    <mergeCell ref="C5:H5"/>
    <mergeCell ref="J5:K5"/>
    <mergeCell ref="B15:C15"/>
    <mergeCell ref="H81:L81"/>
    <mergeCell ref="B24:C24"/>
    <mergeCell ref="F25:G25"/>
    <mergeCell ref="J24:K24"/>
    <mergeCell ref="B25:C25"/>
    <mergeCell ref="F26:G26"/>
    <mergeCell ref="J25:K25"/>
    <mergeCell ref="B26:C26"/>
    <mergeCell ref="J29:K29"/>
    <mergeCell ref="B37:N37"/>
    <mergeCell ref="B38:E38"/>
    <mergeCell ref="F38:I38"/>
    <mergeCell ref="J38:N39"/>
    <mergeCell ref="B39:E39"/>
    <mergeCell ref="F39:I39"/>
    <mergeCell ref="B41:C41"/>
    <mergeCell ref="C9:H9"/>
    <mergeCell ref="J9:K9"/>
    <mergeCell ref="C10:H10"/>
    <mergeCell ref="J10:K10"/>
    <mergeCell ref="B11:C11"/>
    <mergeCell ref="F11:G11"/>
    <mergeCell ref="C6:H6"/>
    <mergeCell ref="J6:K6"/>
    <mergeCell ref="C7:H7"/>
    <mergeCell ref="J7:K7"/>
    <mergeCell ref="C8:H8"/>
    <mergeCell ref="J8:K8"/>
  </mergeCells>
  <conditionalFormatting sqref="F46:G52">
    <cfRule type="cellIs" dxfId="2" priority="3" operator="equal">
      <formula>""</formula>
    </cfRule>
  </conditionalFormatting>
  <conditionalFormatting sqref="M50">
    <cfRule type="cellIs" dxfId="1" priority="2" operator="equal">
      <formula>" / "</formula>
    </cfRule>
  </conditionalFormatting>
  <conditionalFormatting sqref="M46:N51">
    <cfRule type="cellIs" dxfId="0" priority="1" operator="equal">
      <formula>""</formula>
    </cfRule>
  </conditionalFormatting>
  <printOptions horizontalCentered="1"/>
  <pageMargins left="0.23611111111111099" right="0.23611111111111099" top="0.196527777777778" bottom="0.31527777777777799" header="0.51180555555555496" footer="0.31527777777777799"/>
  <pageSetup paperSize="9" scale="59" firstPageNumber="0" orientation="portrait" horizontalDpi="300" verticalDpi="300" r:id="rId1"/>
  <headerFooter>
    <oddFooter>&amp;CPágina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Painel do Aceite</vt:lpstr>
      <vt:lpstr>Aceite</vt:lpstr>
      <vt:lpstr>Aceite!Area_de_impressao</vt:lpstr>
      <vt:lpstr>'Painel do Aceite'!Area_de_impressao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Parente Martins Santos</dc:creator>
  <cp:lastModifiedBy>Fabio Parente Martins Santos</cp:lastModifiedBy>
  <cp:lastPrinted>2026-03-02T17:34:59Z</cp:lastPrinted>
  <dcterms:created xsi:type="dcterms:W3CDTF">2024-05-10T13:25:48Z</dcterms:created>
  <dcterms:modified xsi:type="dcterms:W3CDTF">2026-09-17T17:29:31Z</dcterms:modified>
</cp:coreProperties>
</file>